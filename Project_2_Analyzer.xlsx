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2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0ad07c6c1d2e7766/Documents/"/>
    </mc:Choice>
  </mc:AlternateContent>
  <xr:revisionPtr revIDLastSave="1053" documentId="8_{ED637E57-FC00-43E9-9083-F739573AB851}" xr6:coauthVersionLast="47" xr6:coauthVersionMax="47" xr10:uidLastSave="{3E6AE4EC-99A1-4A9C-B2EE-ED15263A1AB7}"/>
  <bookViews>
    <workbookView xWindow="-108" yWindow="-108" windowWidth="23256" windowHeight="12456" firstSheet="6" activeTab="9" xr2:uid="{A34B5CFF-13F8-49B0-A86F-4C199411F76E}"/>
  </bookViews>
  <sheets>
    <sheet name="Conditional_formatting" sheetId="1" r:id="rId1"/>
    <sheet name="Compare_Discount" sheetId="2" r:id="rId2"/>
    <sheet name="Linear_regression" sheetId="3" r:id="rId3"/>
    <sheet name="Descriptive_statistics" sheetId="4" r:id="rId4"/>
    <sheet name="Arrow_for_Monthly_sale" sheetId="5" r:id="rId5"/>
    <sheet name="TimeStamp" sheetId="6" r:id="rId6"/>
    <sheet name="High_vslue_Cus" sheetId="7" r:id="rId7"/>
    <sheet name="Pivot_table" sheetId="8" r:id="rId8"/>
    <sheet name="Pie_Line_Bar chart" sheetId="9" r:id="rId9"/>
    <sheet name="Dashbord" sheetId="10" r:id="rId10"/>
  </sheets>
  <definedNames>
    <definedName name="_xlnm._FilterDatabase" localSheetId="2" hidden="1">Linear_regression!$A$1:$H$1</definedName>
  </definedNames>
  <calcPr calcId="191029"/>
  <pivotCaches>
    <pivotCache cacheId="5" r:id="rId11"/>
    <pivotCache cacheId="30" r:id="rId12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11" i="7" l="1"/>
  <c r="I13" i="7"/>
  <c r="I2" i="7" a="1"/>
  <c r="I2" i="6"/>
  <c r="I3" i="6"/>
  <c r="I4" i="6"/>
  <c r="I5" i="6"/>
  <c r="I6" i="6"/>
  <c r="I7" i="6"/>
  <c r="I8" i="6"/>
  <c r="I9" i="6"/>
  <c r="I10" i="6"/>
  <c r="I11" i="6"/>
  <c r="I12" i="6"/>
  <c r="I13" i="6"/>
  <c r="I14" i="6"/>
  <c r="I15" i="6"/>
  <c r="I16" i="6"/>
  <c r="I17" i="6"/>
  <c r="I18" i="6"/>
  <c r="I19" i="6"/>
  <c r="I20" i="6"/>
  <c r="I21" i="6"/>
  <c r="I22" i="6"/>
  <c r="I23" i="6"/>
  <c r="I24" i="6"/>
  <c r="I25" i="6"/>
  <c r="I26" i="6"/>
  <c r="I27" i="6"/>
  <c r="I28" i="6"/>
  <c r="I29" i="6"/>
  <c r="I30" i="6"/>
  <c r="I31" i="6"/>
  <c r="I32" i="6"/>
  <c r="I33" i="6"/>
  <c r="I34" i="6"/>
  <c r="I35" i="6"/>
  <c r="I36" i="6"/>
  <c r="I37" i="6"/>
  <c r="I38" i="6"/>
  <c r="I39" i="6"/>
  <c r="I40" i="6"/>
  <c r="I41" i="6"/>
  <c r="I42" i="6"/>
  <c r="I43" i="6"/>
  <c r="I44" i="6"/>
  <c r="I45" i="6"/>
  <c r="I46" i="6"/>
  <c r="I47" i="6"/>
  <c r="I48" i="6"/>
  <c r="I49" i="6"/>
  <c r="I50" i="6"/>
  <c r="I51" i="6"/>
  <c r="I52" i="6"/>
  <c r="I53" i="6"/>
  <c r="I54" i="6"/>
  <c r="I55" i="6"/>
  <c r="I56" i="6"/>
  <c r="I57" i="6"/>
  <c r="I58" i="6"/>
  <c r="I59" i="6"/>
  <c r="I60" i="6"/>
  <c r="I61" i="6"/>
  <c r="I62" i="6"/>
  <c r="I63" i="6"/>
  <c r="I64" i="6"/>
  <c r="I65" i="6"/>
  <c r="I66" i="6"/>
  <c r="I67" i="6"/>
  <c r="I68" i="6"/>
  <c r="I69" i="6"/>
  <c r="I70" i="6"/>
  <c r="I71" i="6"/>
  <c r="I72" i="6"/>
  <c r="I73" i="6"/>
  <c r="I74" i="6"/>
  <c r="I75" i="6"/>
  <c r="I76" i="6"/>
  <c r="I77" i="6"/>
  <c r="I78" i="6"/>
  <c r="I79" i="6"/>
  <c r="I80" i="6"/>
  <c r="I81" i="6"/>
  <c r="I82" i="6"/>
  <c r="I83" i="6"/>
  <c r="I84" i="6"/>
  <c r="I85" i="6"/>
  <c r="I86" i="6"/>
  <c r="I87" i="6"/>
  <c r="I88" i="6"/>
  <c r="I89" i="6"/>
  <c r="I90" i="6"/>
  <c r="I91" i="6"/>
  <c r="I92" i="6"/>
  <c r="I93" i="6"/>
  <c r="I94" i="6"/>
  <c r="I95" i="6"/>
  <c r="I96" i="6"/>
  <c r="I97" i="6"/>
  <c r="I98" i="6"/>
  <c r="I99" i="6"/>
  <c r="I100" i="6"/>
  <c r="I101" i="6"/>
  <c r="I102" i="6"/>
  <c r="I103" i="6"/>
  <c r="I104" i="6"/>
  <c r="I105" i="6"/>
  <c r="I106" i="6"/>
  <c r="I107" i="6"/>
  <c r="I108" i="6"/>
  <c r="I109" i="6"/>
  <c r="I110" i="6"/>
  <c r="I111" i="6"/>
  <c r="I112" i="6"/>
  <c r="I113" i="6"/>
  <c r="I114" i="6"/>
  <c r="I115" i="6"/>
  <c r="I116" i="6"/>
  <c r="I117" i="6"/>
  <c r="I118" i="6"/>
  <c r="I119" i="6"/>
  <c r="I120" i="6"/>
  <c r="I121" i="6"/>
  <c r="I122" i="6"/>
  <c r="I123" i="6"/>
  <c r="I124" i="6"/>
  <c r="I125" i="6"/>
  <c r="I126" i="6"/>
  <c r="I127" i="6"/>
  <c r="I128" i="6"/>
  <c r="I129" i="6"/>
  <c r="I130" i="6"/>
  <c r="I131" i="6"/>
  <c r="I132" i="6"/>
  <c r="I133" i="6"/>
  <c r="I134" i="6"/>
  <c r="I135" i="6"/>
  <c r="I136" i="6"/>
  <c r="I137" i="6"/>
  <c r="I138" i="6"/>
  <c r="I139" i="6"/>
  <c r="I140" i="6"/>
  <c r="I141" i="6"/>
  <c r="I142" i="6"/>
  <c r="I143" i="6"/>
  <c r="I144" i="6"/>
  <c r="I145" i="6"/>
  <c r="I146" i="6"/>
  <c r="I147" i="6"/>
  <c r="I148" i="6"/>
  <c r="L3" i="5"/>
  <c r="K10" i="5"/>
  <c r="K9" i="5"/>
  <c r="L8" i="5" s="1"/>
  <c r="K8" i="5"/>
  <c r="L7" i="5" s="1"/>
  <c r="K7" i="5"/>
  <c r="L6" i="5" s="1"/>
  <c r="K6" i="5"/>
  <c r="L5" i="5" s="1"/>
  <c r="K5" i="5"/>
  <c r="L4" i="5" s="1"/>
  <c r="K4" i="5"/>
  <c r="K3" i="5"/>
  <c r="L2" i="5" s="1"/>
  <c r="K2" i="5"/>
  <c r="J6" i="3"/>
  <c r="J4" i="3"/>
  <c r="B8" i="2"/>
  <c r="B5" i="2"/>
  <c r="B7" i="2"/>
  <c r="L9" i="5" l="1"/>
  <c r="L10" i="5"/>
  <c r="K4" i="3"/>
  <c r="K30" i="3"/>
  <c r="K31" i="3"/>
  <c r="K32" i="3"/>
  <c r="K33" i="3"/>
  <c r="K34" i="3"/>
  <c r="K47" i="3"/>
  <c r="K64" i="3"/>
  <c r="K65" i="3"/>
  <c r="K66" i="3"/>
  <c r="K67" i="3"/>
  <c r="K68" i="3"/>
  <c r="K69" i="3"/>
  <c r="K70" i="3"/>
  <c r="K71" i="3"/>
  <c r="K72" i="3"/>
  <c r="K73" i="3"/>
  <c r="K74" i="3"/>
  <c r="K75" i="3"/>
  <c r="K76" i="3"/>
  <c r="K77" i="3"/>
  <c r="K78" i="3"/>
  <c r="K79" i="3"/>
  <c r="K80" i="3"/>
  <c r="K21" i="3"/>
  <c r="K35" i="3"/>
  <c r="K37" i="3"/>
  <c r="K39" i="3"/>
  <c r="K41" i="3"/>
  <c r="K42" i="3"/>
  <c r="K45" i="3"/>
  <c r="K49" i="3"/>
  <c r="K52" i="3"/>
  <c r="K53" i="3"/>
  <c r="K54" i="3"/>
  <c r="K55" i="3"/>
  <c r="K57" i="3"/>
  <c r="K58" i="3"/>
  <c r="K60" i="3"/>
  <c r="K62" i="3"/>
  <c r="K81" i="3"/>
  <c r="K82" i="3"/>
  <c r="K83" i="3"/>
  <c r="K84" i="3"/>
  <c r="K85" i="3"/>
  <c r="K86" i="3"/>
  <c r="K87" i="3"/>
  <c r="K88" i="3"/>
  <c r="K89" i="3"/>
  <c r="K90" i="3"/>
  <c r="K91" i="3"/>
  <c r="K92" i="3"/>
  <c r="K93" i="3"/>
  <c r="K94" i="3"/>
  <c r="K95" i="3"/>
  <c r="K96" i="3"/>
  <c r="K97" i="3"/>
  <c r="K98" i="3"/>
  <c r="K99" i="3"/>
  <c r="K100" i="3"/>
  <c r="K101" i="3"/>
  <c r="K102" i="3"/>
  <c r="K103" i="3"/>
  <c r="K104" i="3"/>
  <c r="K105" i="3"/>
  <c r="K106" i="3"/>
  <c r="K107" i="3"/>
  <c r="K108" i="3"/>
  <c r="K109" i="3"/>
  <c r="K110" i="3"/>
  <c r="K111" i="3"/>
  <c r="K112" i="3"/>
  <c r="K113" i="3"/>
  <c r="K114" i="3"/>
  <c r="K116" i="3"/>
  <c r="K117" i="3"/>
  <c r="K118" i="3"/>
  <c r="K119" i="3"/>
  <c r="K120" i="3"/>
  <c r="K121" i="3"/>
  <c r="K122" i="3"/>
  <c r="K123" i="3"/>
  <c r="K124" i="3"/>
  <c r="K125" i="3"/>
  <c r="K126" i="3"/>
  <c r="K127" i="3"/>
  <c r="K128" i="3"/>
  <c r="K129" i="3"/>
  <c r="K130" i="3"/>
  <c r="K131" i="3"/>
  <c r="K132" i="3"/>
  <c r="K134" i="3"/>
  <c r="K135" i="3"/>
  <c r="K137" i="3"/>
  <c r="K139" i="3"/>
  <c r="K140" i="3"/>
  <c r="K142" i="3"/>
  <c r="K143" i="3"/>
  <c r="K145" i="3"/>
  <c r="K146" i="3"/>
  <c r="K147" i="3"/>
  <c r="K149" i="3"/>
  <c r="K151" i="3"/>
  <c r="K152" i="3"/>
  <c r="K154" i="3"/>
  <c r="K155" i="3"/>
  <c r="K156" i="3"/>
  <c r="K157" i="3"/>
  <c r="K159" i="3"/>
  <c r="K161" i="3"/>
  <c r="K163" i="3"/>
  <c r="K165" i="3"/>
  <c r="K167" i="3"/>
  <c r="K170" i="3"/>
  <c r="K174" i="3"/>
  <c r="K175" i="3"/>
  <c r="K177" i="3"/>
  <c r="K179" i="3"/>
  <c r="K180" i="3"/>
  <c r="K181" i="3"/>
  <c r="K183" i="3"/>
  <c r="K185" i="3"/>
  <c r="K188" i="3"/>
  <c r="K189" i="3"/>
  <c r="K192" i="3"/>
  <c r="K195" i="3"/>
  <c r="K194" i="3"/>
  <c r="K28" i="3"/>
  <c r="K10" i="3"/>
  <c r="K13" i="3"/>
  <c r="K18" i="3"/>
  <c r="K115" i="3"/>
  <c r="K133" i="3"/>
  <c r="K136" i="3"/>
  <c r="K138" i="3"/>
  <c r="K141" i="3"/>
  <c r="K144" i="3"/>
  <c r="K148" i="3"/>
  <c r="K150" i="3"/>
  <c r="K153" i="3"/>
  <c r="K158" i="3"/>
  <c r="K160" i="3"/>
  <c r="K162" i="3"/>
  <c r="K164" i="3"/>
  <c r="K166" i="3"/>
  <c r="K168" i="3"/>
  <c r="K169" i="3"/>
  <c r="K171" i="3"/>
  <c r="K172" i="3"/>
  <c r="K173" i="3"/>
  <c r="K176" i="3"/>
  <c r="K178" i="3"/>
  <c r="K182" i="3"/>
  <c r="K184" i="3"/>
  <c r="K186" i="3"/>
  <c r="K187" i="3"/>
  <c r="K190" i="3"/>
  <c r="K191" i="3"/>
  <c r="K193" i="3"/>
  <c r="K196" i="3"/>
  <c r="K197" i="3"/>
  <c r="K198" i="3"/>
  <c r="K199" i="3"/>
  <c r="K201" i="3"/>
  <c r="K202" i="3"/>
  <c r="K203" i="3"/>
  <c r="K20" i="3"/>
  <c r="K36" i="3"/>
  <c r="K38" i="3"/>
  <c r="K40" i="3"/>
  <c r="K43" i="3"/>
  <c r="K46" i="3"/>
  <c r="K48" i="3"/>
  <c r="K50" i="3"/>
  <c r="K56" i="3"/>
  <c r="K59" i="3"/>
  <c r="K61" i="3"/>
  <c r="K63" i="3"/>
  <c r="K44" i="3"/>
  <c r="K200" i="3"/>
  <c r="K22" i="3"/>
  <c r="K23" i="3"/>
  <c r="K24" i="3"/>
  <c r="K25" i="3"/>
  <c r="K26" i="3"/>
  <c r="K27" i="3"/>
  <c r="K29" i="3"/>
  <c r="K6" i="3"/>
  <c r="K7" i="3"/>
  <c r="K8" i="3"/>
  <c r="K9" i="3"/>
  <c r="K11" i="3"/>
  <c r="K12" i="3"/>
  <c r="K14" i="3"/>
  <c r="K15" i="3"/>
  <c r="K16" i="3"/>
  <c r="K17" i="3"/>
  <c r="K19" i="3"/>
  <c r="K5" i="3"/>
  <c r="K51" i="3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<sst xmlns="http://schemas.openxmlformats.org/spreadsheetml/2006/main" count="4291" uniqueCount="130">
  <si>
    <t>Customer_ID</t>
  </si>
  <si>
    <t>Customer_Name</t>
  </si>
  <si>
    <t>Region</t>
  </si>
  <si>
    <t>Product_Category</t>
  </si>
  <si>
    <t>Sales</t>
  </si>
  <si>
    <t>Quantity</t>
  </si>
  <si>
    <t>Discount</t>
  </si>
  <si>
    <t>Order_Date</t>
  </si>
  <si>
    <t>Profit</t>
  </si>
  <si>
    <t>CUST019</t>
  </si>
  <si>
    <t>James Davis</t>
  </si>
  <si>
    <t>West</t>
  </si>
  <si>
    <t>Books</t>
  </si>
  <si>
    <t>CUST012</t>
  </si>
  <si>
    <t>Robert Anderson</t>
  </si>
  <si>
    <t>Clothing</t>
  </si>
  <si>
    <t>CUST017</t>
  </si>
  <si>
    <t>James Taylor</t>
  </si>
  <si>
    <t>East</t>
  </si>
  <si>
    <t>CUST005</t>
  </si>
  <si>
    <t>South</t>
  </si>
  <si>
    <t>Electronics</t>
  </si>
  <si>
    <t>CUST030</t>
  </si>
  <si>
    <t>James Wilson</t>
  </si>
  <si>
    <t>North</t>
  </si>
  <si>
    <t>CUST007</t>
  </si>
  <si>
    <t>Michael Anderson</t>
  </si>
  <si>
    <t>Furniture</t>
  </si>
  <si>
    <t>CUST001</t>
  </si>
  <si>
    <t>Linda Wilson</t>
  </si>
  <si>
    <t>CUST026</t>
  </si>
  <si>
    <t>Mary Davis</t>
  </si>
  <si>
    <t>CUST009</t>
  </si>
  <si>
    <t>Linda Jackson</t>
  </si>
  <si>
    <t>Central</t>
  </si>
  <si>
    <t>CUST010</t>
  </si>
  <si>
    <t>David Thomas</t>
  </si>
  <si>
    <t>CUST014</t>
  </si>
  <si>
    <t>Emma Davis</t>
  </si>
  <si>
    <t>Office Supplies</t>
  </si>
  <si>
    <t>CUST023</t>
  </si>
  <si>
    <t>CUST029</t>
  </si>
  <si>
    <t>David Smith</t>
  </si>
  <si>
    <t>Sarah Anderson</t>
  </si>
  <si>
    <t>CUST008</t>
  </si>
  <si>
    <t>Lisa Thomas</t>
  </si>
  <si>
    <t>CUST006</t>
  </si>
  <si>
    <t>Mary Jackson</t>
  </si>
  <si>
    <t>Lisa Davis</t>
  </si>
  <si>
    <t>CUST022</t>
  </si>
  <si>
    <t>Linda Brown</t>
  </si>
  <si>
    <t>John Brown</t>
  </si>
  <si>
    <t>CUST028</t>
  </si>
  <si>
    <t>Linda Taylor</t>
  </si>
  <si>
    <t>CUST025</t>
  </si>
  <si>
    <t>David Brown</t>
  </si>
  <si>
    <t>David Davis</t>
  </si>
  <si>
    <t>CUST021</t>
  </si>
  <si>
    <t>CUST015</t>
  </si>
  <si>
    <t>Mary Wilson</t>
  </si>
  <si>
    <t>CUST016</t>
  </si>
  <si>
    <t>Emma Wilson</t>
  </si>
  <si>
    <t>Linda Davis</t>
  </si>
  <si>
    <t>CUST011</t>
  </si>
  <si>
    <t>Sarah Davis</t>
  </si>
  <si>
    <t>CUST002</t>
  </si>
  <si>
    <t>Emma Taylor</t>
  </si>
  <si>
    <t>CUST003</t>
  </si>
  <si>
    <t>CUST020</t>
  </si>
  <si>
    <t>Linda Moore</t>
  </si>
  <si>
    <t>CUST024</t>
  </si>
  <si>
    <t>David Anderson</t>
  </si>
  <si>
    <t>CUST004</t>
  </si>
  <si>
    <t>CUST013</t>
  </si>
  <si>
    <t>CUST027</t>
  </si>
  <si>
    <t>CUST018</t>
  </si>
  <si>
    <t>Price</t>
  </si>
  <si>
    <t>Prdct</t>
  </si>
  <si>
    <t xml:space="preserve">               PS5</t>
  </si>
  <si>
    <t>Qnty</t>
  </si>
  <si>
    <t>Total Amount</t>
  </si>
  <si>
    <t>Discount Amont</t>
  </si>
  <si>
    <t>Final Amount</t>
  </si>
  <si>
    <t>Snerio manager Discount compare</t>
  </si>
  <si>
    <t>y=mx+c</t>
  </si>
  <si>
    <t>m</t>
  </si>
  <si>
    <t>x</t>
  </si>
  <si>
    <t>Linear Regression</t>
  </si>
  <si>
    <t>Descriptive_Statistics</t>
  </si>
  <si>
    <t>month</t>
  </si>
  <si>
    <t>Apr</t>
  </si>
  <si>
    <t>May</t>
  </si>
  <si>
    <t>June</t>
  </si>
  <si>
    <t>Jul</t>
  </si>
  <si>
    <t>Aug</t>
  </si>
  <si>
    <t>Sep</t>
  </si>
  <si>
    <t>Oct</t>
  </si>
  <si>
    <t>Nov</t>
  </si>
  <si>
    <t>Dec</t>
  </si>
  <si>
    <t>Monthly_Sales</t>
  </si>
  <si>
    <t>Monthly_Sales_Growth</t>
  </si>
  <si>
    <t>TimeStamp</t>
  </si>
  <si>
    <t>Kavya Trivedi</t>
  </si>
  <si>
    <t>Rohan Shah</t>
  </si>
  <si>
    <t>Ananya Patel</t>
  </si>
  <si>
    <t>Vivek Mehta</t>
  </si>
  <si>
    <t>Isha Desai</t>
  </si>
  <si>
    <t>Karan Joshi</t>
  </si>
  <si>
    <t>Pooja Shah</t>
  </si>
  <si>
    <t>Dhruv Patel</t>
  </si>
  <si>
    <t>Mira Trivedi</t>
  </si>
  <si>
    <t>Yash Mehta</t>
  </si>
  <si>
    <t>Diya Joshi</t>
  </si>
  <si>
    <t>Harsh Desai</t>
  </si>
  <si>
    <t>Riya Shah</t>
  </si>
  <si>
    <t>Manav Patel</t>
  </si>
  <si>
    <t>Sana Mehta</t>
  </si>
  <si>
    <t>Aarav Patel</t>
  </si>
  <si>
    <t>Priya Shah</t>
  </si>
  <si>
    <t>Rahul Mehta</t>
  </si>
  <si>
    <t>Neha Desai</t>
  </si>
  <si>
    <t>Arjun Joshi</t>
  </si>
  <si>
    <t>High value Customers by Filter</t>
  </si>
  <si>
    <t xml:space="preserve">High value Customers </t>
  </si>
  <si>
    <t>High value Customers_Name</t>
  </si>
  <si>
    <t>Row Labels</t>
  </si>
  <si>
    <t>Grand Total</t>
  </si>
  <si>
    <t>Sum of Sales</t>
  </si>
  <si>
    <t>Analyze total sales by Region</t>
  </si>
  <si>
    <t>Analyze total sales by Product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</si>
</sst>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₹-439]#,##0.00"/>
    <numFmt numFmtId="165" formatCode="[$₹-439]#,##0"/>
    <numFmt numFmtId="166" formatCode="dd\-mm\-yyyy\ hh:mm:ss\ AM/PM"/>
  </numFmts>
  <fonts count="5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9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/>
        <bgColor indexed="64"/>
      </patternFill>
    </fill>
  </fills>
  <borders count="18">
    <border>
      <left/>
      <right/>
      <top/>
      <bottom/>
      <diagonal/>
    </border>
    <border>
      <left style="medium">
        <color rgb="FFCCCCCC"/>
      </left>
      <right/>
      <top/>
      <bottom/>
      <diagonal/>
    </border>
    <border>
      <left/>
      <right style="medium">
        <color rgb="FFCCCCCC"/>
      </right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thin">
        <color theme="4" tint="0.399975585192419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CCCCCC"/>
      </left>
      <right style="medium">
        <color rgb="FFCCCCCC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rgb="FFCCCCCC"/>
      </bottom>
      <diagonal/>
    </border>
    <border>
      <left/>
      <right style="medium">
        <color rgb="FFCCCCCC"/>
      </right>
      <top style="thin">
        <color theme="4" tint="0.39997558519241921"/>
      </top>
      <bottom style="thin">
        <color theme="4" tint="0.39997558519241921"/>
      </bottom>
      <diagonal/>
    </border>
    <border>
      <left/>
      <right style="medium">
        <color rgb="FFCCCCCC"/>
      </right>
      <top style="thin">
        <color theme="4" tint="0.39997558519241921"/>
      </top>
      <bottom style="medium">
        <color rgb="FFCCCCCC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/>
      <diagonal/>
    </border>
  </borders>
  <cellStyleXfs count="1">
    <xf numFmtId="0" fontId="0" fillId="0" borderId="0"/>
  </cellStyleXfs>
  <cellXfs count="51">
    <xf numFmtId="0" fontId="0" fillId="0" borderId="0" xfId="0"/>
    <xf numFmtId="9" fontId="0" fillId="0" borderId="0" xfId="0" applyNumberFormat="1"/>
    <xf numFmtId="0" fontId="0" fillId="0" borderId="4" xfId="0" applyBorder="1" applyAlignment="1">
      <alignment wrapText="1"/>
    </xf>
    <xf numFmtId="0" fontId="2" fillId="0" borderId="2" xfId="0" applyFont="1" applyBorder="1" applyAlignment="1">
      <alignment wrapText="1"/>
    </xf>
    <xf numFmtId="0" fontId="2" fillId="0" borderId="5" xfId="0" applyFont="1" applyBorder="1" applyAlignment="1">
      <alignment wrapText="1"/>
    </xf>
    <xf numFmtId="0" fontId="2" fillId="0" borderId="1" xfId="0" applyFont="1" applyBorder="1" applyAlignment="1">
      <alignment wrapText="1"/>
    </xf>
    <xf numFmtId="0" fontId="0" fillId="0" borderId="4" xfId="0" applyBorder="1" applyAlignment="1">
      <alignment horizontal="right" wrapText="1"/>
    </xf>
    <xf numFmtId="14" fontId="0" fillId="0" borderId="4" xfId="0" applyNumberFormat="1" applyBorder="1" applyAlignment="1">
      <alignment horizontal="right" wrapText="1"/>
    </xf>
    <xf numFmtId="9" fontId="0" fillId="0" borderId="4" xfId="0" applyNumberFormat="1" applyBorder="1" applyAlignment="1">
      <alignment horizontal="right" wrapText="1"/>
    </xf>
    <xf numFmtId="164" fontId="0" fillId="0" borderId="0" xfId="0" applyNumberFormat="1"/>
    <xf numFmtId="0" fontId="0" fillId="3" borderId="4" xfId="0" applyFill="1" applyBorder="1" applyAlignment="1">
      <alignment wrapText="1"/>
    </xf>
    <xf numFmtId="0" fontId="0" fillId="3" borderId="4" xfId="0" applyFill="1" applyBorder="1" applyAlignment="1">
      <alignment horizontal="right" wrapText="1"/>
    </xf>
    <xf numFmtId="9" fontId="0" fillId="3" borderId="4" xfId="0" applyNumberFormat="1" applyFill="1" applyBorder="1" applyAlignment="1">
      <alignment horizontal="right" wrapText="1"/>
    </xf>
    <xf numFmtId="14" fontId="0" fillId="3" borderId="4" xfId="0" applyNumberFormat="1" applyFill="1" applyBorder="1" applyAlignment="1">
      <alignment horizontal="right" wrapText="1"/>
    </xf>
    <xf numFmtId="0" fontId="0" fillId="0" borderId="6" xfId="0" applyBorder="1" applyAlignment="1">
      <alignment wrapText="1"/>
    </xf>
    <xf numFmtId="0" fontId="0" fillId="0" borderId="6" xfId="0" applyBorder="1" applyAlignment="1">
      <alignment horizontal="right" wrapText="1"/>
    </xf>
    <xf numFmtId="9" fontId="0" fillId="0" borderId="6" xfId="0" applyNumberFormat="1" applyBorder="1" applyAlignment="1">
      <alignment horizontal="right" wrapText="1"/>
    </xf>
    <xf numFmtId="14" fontId="0" fillId="0" borderId="6" xfId="0" applyNumberFormat="1" applyBorder="1" applyAlignment="1">
      <alignment horizontal="right" wrapText="1"/>
    </xf>
    <xf numFmtId="0" fontId="1" fillId="2" borderId="3" xfId="0" applyFont="1" applyFill="1" applyBorder="1" applyAlignment="1">
      <alignment wrapText="1"/>
    </xf>
    <xf numFmtId="165" fontId="0" fillId="3" borderId="4" xfId="0" applyNumberFormat="1" applyFill="1" applyBorder="1" applyAlignment="1">
      <alignment horizontal="right" wrapText="1"/>
    </xf>
    <xf numFmtId="165" fontId="0" fillId="0" borderId="4" xfId="0" applyNumberFormat="1" applyBorder="1" applyAlignment="1">
      <alignment horizontal="right" wrapText="1"/>
    </xf>
    <xf numFmtId="165" fontId="0" fillId="0" borderId="6" xfId="0" applyNumberFormat="1" applyBorder="1" applyAlignment="1">
      <alignment horizontal="right" wrapText="1"/>
    </xf>
    <xf numFmtId="165" fontId="0" fillId="3" borderId="7" xfId="0" applyNumberFormat="1" applyFill="1" applyBorder="1"/>
    <xf numFmtId="165" fontId="0" fillId="0" borderId="7" xfId="0" applyNumberFormat="1" applyBorder="1"/>
    <xf numFmtId="165" fontId="0" fillId="0" borderId="8" xfId="0" applyNumberFormat="1" applyBorder="1"/>
    <xf numFmtId="165" fontId="0" fillId="0" borderId="0" xfId="0" applyNumberFormat="1"/>
    <xf numFmtId="0" fontId="1" fillId="2" borderId="0" xfId="0" applyFont="1" applyFill="1" applyAlignment="1">
      <alignment wrapText="1"/>
    </xf>
    <xf numFmtId="1" fontId="0" fillId="0" borderId="0" xfId="0" applyNumberFormat="1"/>
    <xf numFmtId="0" fontId="1" fillId="2" borderId="1" xfId="0" applyFont="1" applyFill="1" applyBorder="1" applyAlignment="1">
      <alignment wrapText="1"/>
    </xf>
    <xf numFmtId="10" fontId="0" fillId="0" borderId="0" xfId="0" applyNumberFormat="1"/>
    <xf numFmtId="165" fontId="0" fillId="0" borderId="4" xfId="0" applyNumberFormat="1" applyBorder="1" applyAlignment="1">
      <alignment horizontal="right"/>
    </xf>
    <xf numFmtId="0" fontId="0" fillId="0" borderId="10" xfId="0" applyBorder="1"/>
    <xf numFmtId="10" fontId="0" fillId="0" borderId="11" xfId="0" applyNumberFormat="1" applyBorder="1" applyAlignment="1">
      <alignment horizontal="center" vertical="center"/>
    </xf>
    <xf numFmtId="0" fontId="1" fillId="5" borderId="12" xfId="0" applyFont="1" applyFill="1" applyBorder="1"/>
    <xf numFmtId="0" fontId="1" fillId="5" borderId="13" xfId="0" applyFont="1" applyFill="1" applyBorder="1"/>
    <xf numFmtId="0" fontId="1" fillId="5" borderId="14" xfId="0" applyFont="1" applyFill="1" applyBorder="1"/>
    <xf numFmtId="0" fontId="0" fillId="0" borderId="15" xfId="0" applyBorder="1"/>
    <xf numFmtId="165" fontId="0" fillId="0" borderId="9" xfId="0" applyNumberFormat="1" applyBorder="1" applyAlignment="1">
      <alignment horizontal="right"/>
    </xf>
    <xf numFmtId="10" fontId="0" fillId="0" borderId="16" xfId="0" applyNumberFormat="1" applyBorder="1" applyAlignment="1">
      <alignment horizontal="center" vertical="center"/>
    </xf>
    <xf numFmtId="0" fontId="1" fillId="2" borderId="17" xfId="0" applyFont="1" applyFill="1" applyBorder="1" applyAlignment="1">
      <alignment wrapText="1"/>
    </xf>
    <xf numFmtId="165" fontId="0" fillId="3" borderId="4" xfId="0" applyNumberFormat="1" applyFill="1" applyBorder="1"/>
    <xf numFmtId="165" fontId="0" fillId="0" borderId="4" xfId="0" applyNumberFormat="1" applyBorder="1"/>
    <xf numFmtId="166" fontId="0" fillId="0" borderId="4" xfId="0" applyNumberFormat="1" applyBorder="1"/>
    <xf numFmtId="0" fontId="1" fillId="2" borderId="5" xfId="0" applyFont="1" applyFill="1" applyBorder="1" applyAlignment="1">
      <alignment horizontal="center" wrapText="1"/>
    </xf>
    <xf numFmtId="0" fontId="0" fillId="4" borderId="0" xfId="0" applyFill="1" applyAlignment="1">
      <alignment horizontal="center"/>
    </xf>
    <xf numFmtId="0" fontId="1" fillId="5" borderId="0" xfId="0" applyFont="1" applyFill="1" applyAlignment="1">
      <alignment horizontal="center"/>
    </xf>
    <xf numFmtId="0" fontId="0" fillId="6" borderId="0" xfId="0" applyFill="1"/>
    <xf numFmtId="0" fontId="0" fillId="6" borderId="0" xfId="0" applyFill="1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  <xf numFmtId="0" fontId="4" fillId="0" borderId="0" xfId="0" applyFont="1"/>
  </cellXfs>
  <cellStyles count="1">
    <cellStyle name="Normal" xfId="0" builtinId="0"/>
  </cellStyles>
  <dxfs count="41">
    <dxf>
      <font>
        <color rgb="FF9C0006"/>
      </font>
      <fill>
        <patternFill>
          <bgColor rgb="FFFFC7CE"/>
        </patternFill>
      </fill>
    </dxf>
    <dxf>
      <numFmt numFmtId="166" formatCode="dd\-mm\-yyyy\ hh:mm:ss\ AM/PM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5" formatCode="[$₹-439]#,##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9" formatCode="m/d/yyyy"/>
      <alignment horizontal="right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3" formatCode="0%"/>
      <alignment horizontal="right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right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5" formatCode="[$₹-439]#,##0"/>
      <alignment horizontal="right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4"/>
          <bgColor theme="4"/>
        </patternFill>
      </fill>
      <alignment horizontal="general" vertical="bottom" textRotation="0" wrapText="1" indent="0" justifyLastLine="0" shrinkToFit="0" readingOrder="0"/>
      <border diagonalUp="0" diagonalDown="0" outline="0">
        <left style="medium">
          <color rgb="FFCCCCCC"/>
        </left>
        <right style="medium">
          <color rgb="FFCCCCCC"/>
        </right>
        <top/>
        <bottom/>
      </border>
    </dxf>
    <dxf>
      <numFmt numFmtId="14" formatCode="0.00%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numFmt numFmtId="165" formatCode="[$₹-439]#,##0"/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4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165" formatCode="[$₹-439]#,##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numFmt numFmtId="19" formatCode="m/d/yyyy"/>
      <alignment horizontal="right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3" formatCode="0%"/>
      <alignment horizontal="right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right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5" formatCode="[$₹-439]#,##0"/>
      <alignment horizontal="right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4"/>
          <bgColor theme="4"/>
        </patternFill>
      </fill>
      <alignment horizontal="general" vertical="bottom" textRotation="0" wrapText="1" indent="0" justifyLastLine="0" shrinkToFit="0" readingOrder="0"/>
      <border diagonalUp="0" diagonalDown="0" outline="0">
        <left style="medium">
          <color rgb="FFCCCCCC"/>
        </left>
        <right style="medium">
          <color rgb="FFCCCCCC"/>
        </right>
        <top/>
        <bottom/>
      </border>
    </dxf>
    <dxf>
      <numFmt numFmtId="165" formatCode="[$₹-439]#,##0"/>
    </dxf>
    <dxf>
      <numFmt numFmtId="19" formatCode="m/d/yyyy"/>
      <alignment horizontal="right" vertical="bottom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3" formatCode="0%"/>
      <alignment horizontal="right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right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[$₹-439]#,##0"/>
      <alignment horizontal="right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general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outline="0">
        <top style="medium">
          <color rgb="FFCCCCCC"/>
        </top>
      </border>
    </dxf>
    <dxf>
      <border outline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</border>
    </dxf>
    <dxf>
      <alignment horizontal="right" vertical="bottom" textRotation="0" wrapText="1" indent="0" justifyLastLine="0" shrinkToFit="0" readingOrder="0"/>
    </dxf>
    <dxf>
      <border outline="0">
        <bottom style="medium">
          <color rgb="FFCCCCCC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bottom" textRotation="0" wrapText="1" indent="0" justifyLastLine="0" shrinkToFit="0" readingOrder="0"/>
      <border diagonalUp="0" diagonalDown="0" outline="0">
        <left style="medium">
          <color rgb="FFCCCCCC"/>
        </left>
        <right style="medium">
          <color rgb="FFCCCCCC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pivotCacheDefinition" Target="pivotCache/pivotCacheDefinition2.xml"/><Relationship Id="rId17" Type="http://schemas.microsoft.com/office/2017/10/relationships/person" Target="persons/person.xml"/><Relationship Id="rId2" Type="http://schemas.openxmlformats.org/officeDocument/2006/relationships/worksheet" Target="worksheets/sheet2.xml"/><Relationship Id="rId16" Type="http://schemas.openxmlformats.org/officeDocument/2006/relationships/sheetMetadata" Target="metadata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[Project_2_Analyzer.xlsx]Pie_Line_Bar chart!PivotTable17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</a:t>
            </a:r>
            <a:r>
              <a:rPr lang="en-US" baseline="0"/>
              <a:t> sales by Region</a:t>
            </a:r>
          </a:p>
        </c:rich>
      </c:tx>
      <c:layout>
        <c:manualLayout>
          <c:xMode val="edge"/>
          <c:yMode val="edge"/>
          <c:x val="0.15767143174510065"/>
          <c:y val="3.172269204926092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  <c:marker>
          <c:symbol val="circle"/>
          <c:size val="6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2046153629314528"/>
          <c:y val="0.2376558346023798"/>
          <c:w val="0.48666520799201579"/>
          <c:h val="0.60373070515131555"/>
        </c:manualLayout>
      </c:layout>
      <c:pieChart>
        <c:varyColors val="1"/>
        <c:ser>
          <c:idx val="0"/>
          <c:order val="0"/>
          <c:tx>
            <c:strRef>
              <c:f>'Pie_Line_Bar chart'!$K$1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dk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'Pie_Line_Bar chart'!$J$2:$J$7</c:f>
              <c:strCache>
                <c:ptCount val="5"/>
                <c:pt idx="0">
                  <c:v>Central</c:v>
                </c:pt>
                <c:pt idx="1">
                  <c:v>East</c:v>
                </c:pt>
                <c:pt idx="2">
                  <c:v>North</c:v>
                </c:pt>
                <c:pt idx="3">
                  <c:v>South</c:v>
                </c:pt>
                <c:pt idx="4">
                  <c:v>West</c:v>
                </c:pt>
              </c:strCache>
            </c:strRef>
          </c:cat>
          <c:val>
            <c:numRef>
              <c:f>'Pie_Line_Bar chart'!$K$2:$K$7</c:f>
              <c:numCache>
                <c:formatCode>[$₹-439]#,##0</c:formatCode>
                <c:ptCount val="5"/>
                <c:pt idx="0">
                  <c:v>43468.33</c:v>
                </c:pt>
                <c:pt idx="1">
                  <c:v>32441.64</c:v>
                </c:pt>
                <c:pt idx="2">
                  <c:v>34975.42</c:v>
                </c:pt>
                <c:pt idx="3">
                  <c:v>40248.79</c:v>
                </c:pt>
                <c:pt idx="4">
                  <c:v>44083.58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D32-47D6-BBCE-A47F6EC06990}"/>
            </c:ext>
          </c:extLst>
        </c:ser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5738303028920018"/>
          <c:y val="0.2927554863188605"/>
          <c:w val="0.18721194251837495"/>
          <c:h val="0.45006881576109897"/>
        </c:manualLayout>
      </c:layout>
      <c:overlay val="0"/>
      <c:spPr>
        <a:solidFill>
          <a:schemeClr val="lt1">
            <a:alpha val="78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pattFill prst="dkDnDiag">
      <a:fgClr>
        <a:schemeClr val="lt1">
          <a:lumMod val="95000"/>
        </a:schemeClr>
      </a:fgClr>
      <a:bgClr>
        <a:schemeClr val="lt1"/>
      </a:bgClr>
    </a:patt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[Project_2_Analyzer.xlsx]Pie_Line_Bar chart!PivotTable18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Total sales by product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'Pie_Line_Bar chart'!$K$16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'Pie_Line_Bar chart'!$J$17:$J$22</c:f>
              <c:strCache>
                <c:ptCount val="5"/>
                <c:pt idx="0">
                  <c:v>Books</c:v>
                </c:pt>
                <c:pt idx="1">
                  <c:v>Clothing</c:v>
                </c:pt>
                <c:pt idx="2">
                  <c:v>Electronics</c:v>
                </c:pt>
                <c:pt idx="3">
                  <c:v>Furniture</c:v>
                </c:pt>
                <c:pt idx="4">
                  <c:v>Office Supplies</c:v>
                </c:pt>
              </c:strCache>
            </c:strRef>
          </c:cat>
          <c:val>
            <c:numRef>
              <c:f>'Pie_Line_Bar chart'!$K$17:$K$22</c:f>
              <c:numCache>
                <c:formatCode>[$₹-439]#,##0</c:formatCode>
                <c:ptCount val="5"/>
                <c:pt idx="0">
                  <c:v>47002.460000000006</c:v>
                </c:pt>
                <c:pt idx="1">
                  <c:v>41927.589999999989</c:v>
                </c:pt>
                <c:pt idx="2">
                  <c:v>41044.000000000007</c:v>
                </c:pt>
                <c:pt idx="3">
                  <c:v>36612.89</c:v>
                </c:pt>
                <c:pt idx="4">
                  <c:v>28630.819999999992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23D-4A03-96C0-5082DA05FF4E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547759504"/>
        <c:axId val="519471376"/>
      </c:barChart>
      <c:catAx>
        <c:axId val="5477595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9471376"/>
        <c:crosses val="autoZero"/>
        <c:auto val="1"/>
        <c:lblAlgn val="ctr"/>
        <c:lblOffset val="100"/>
        <c:noMultiLvlLbl val="0"/>
      </c:catAx>
      <c:valAx>
        <c:axId val="5194713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[$₹-439]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77595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[Project_2_Analyzer.xlsx]Pie_Line_Bar chart!PivotTable19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 sales by region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'Pie_Line_Bar chart'!$K$27</c:f>
              <c:strCache>
                <c:ptCount val="1"/>
                <c:pt idx="0">
                  <c:v>Total</c:v>
                </c:pt>
              </c:strCache>
            </c:strRef>
          </c:tx>
          <c:spPr>
            <a:ln w="34925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1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'Pie_Line_Bar chart'!$J$28:$J$33</c:f>
              <c:strCache>
                <c:ptCount val="5"/>
                <c:pt idx="0">
                  <c:v>Central</c:v>
                </c:pt>
                <c:pt idx="1">
                  <c:v>East</c:v>
                </c:pt>
                <c:pt idx="2">
                  <c:v>North</c:v>
                </c:pt>
                <c:pt idx="3">
                  <c:v>South</c:v>
                </c:pt>
                <c:pt idx="4">
                  <c:v>West</c:v>
                </c:pt>
              </c:strCache>
            </c:strRef>
          </c:cat>
          <c:val>
            <c:numRef>
              <c:f>'Pie_Line_Bar chart'!$K$28:$K$33</c:f>
              <c:numCache>
                <c:formatCode>[$₹-439]#,##0</c:formatCode>
                <c:ptCount val="5"/>
                <c:pt idx="0">
                  <c:v>43468.33</c:v>
                </c:pt>
                <c:pt idx="1">
                  <c:v>32441.64</c:v>
                </c:pt>
                <c:pt idx="2">
                  <c:v>34975.42</c:v>
                </c:pt>
                <c:pt idx="3">
                  <c:v>40248.79</c:v>
                </c:pt>
                <c:pt idx="4">
                  <c:v>44083.58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5E5-4923-8EF7-0AC7EAC6AFBA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142739328"/>
        <c:axId val="519582736"/>
      </c:lineChart>
      <c:catAx>
        <c:axId val="11427393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9582736"/>
        <c:crosses val="autoZero"/>
        <c:auto val="1"/>
        <c:lblAlgn val="ctr"/>
        <c:lblOffset val="100"/>
        <c:noMultiLvlLbl val="0"/>
      </c:catAx>
      <c:valAx>
        <c:axId val="5195827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[$₹-439]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427393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[Project_2_Analyzer.xlsx]Pie_Line_Bar chart!PivotTable20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Top</a:t>
            </a:r>
            <a:r>
              <a:rPr lang="en-US" b="1" baseline="0"/>
              <a:t> 10 Highest sales customers</a:t>
            </a:r>
            <a:endParaRPr lang="en-U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'Pie_Line_Bar chart'!$K$41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'Pie_Line_Bar chart'!$J$42:$J$52</c:f>
              <c:strCache>
                <c:ptCount val="10"/>
                <c:pt idx="0">
                  <c:v>David Brown</c:v>
                </c:pt>
                <c:pt idx="1">
                  <c:v>Emma Davis</c:v>
                </c:pt>
                <c:pt idx="2">
                  <c:v>Emma Wilson</c:v>
                </c:pt>
                <c:pt idx="3">
                  <c:v>James Wilson</c:v>
                </c:pt>
                <c:pt idx="4">
                  <c:v>Linda Wilson</c:v>
                </c:pt>
                <c:pt idx="5">
                  <c:v>Lisa Davis</c:v>
                </c:pt>
                <c:pt idx="6">
                  <c:v>Lisa Thomas</c:v>
                </c:pt>
                <c:pt idx="7">
                  <c:v>Mary Davis</c:v>
                </c:pt>
                <c:pt idx="8">
                  <c:v>Michael Anderson</c:v>
                </c:pt>
                <c:pt idx="9">
                  <c:v>Robert Anderson</c:v>
                </c:pt>
              </c:strCache>
            </c:strRef>
          </c:cat>
          <c:val>
            <c:numRef>
              <c:f>'Pie_Line_Bar chart'!$K$42:$K$52</c:f>
              <c:numCache>
                <c:formatCode>[$₹-439]#,##0</c:formatCode>
                <c:ptCount val="10"/>
                <c:pt idx="0">
                  <c:v>11915.829999999998</c:v>
                </c:pt>
                <c:pt idx="1">
                  <c:v>11398.32</c:v>
                </c:pt>
                <c:pt idx="2">
                  <c:v>8543.9699999999993</c:v>
                </c:pt>
                <c:pt idx="3">
                  <c:v>20774.739999999998</c:v>
                </c:pt>
                <c:pt idx="4">
                  <c:v>9970.1999999999989</c:v>
                </c:pt>
                <c:pt idx="5">
                  <c:v>8090.12</c:v>
                </c:pt>
                <c:pt idx="6">
                  <c:v>8635.9500000000007</c:v>
                </c:pt>
                <c:pt idx="7">
                  <c:v>17143.289999999997</c:v>
                </c:pt>
                <c:pt idx="8">
                  <c:v>7881.9</c:v>
                </c:pt>
                <c:pt idx="9">
                  <c:v>8331.8499999999985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0E3-4264-ACA2-198354520B0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142711952"/>
        <c:axId val="519482896"/>
        <c:axId val="0"/>
      </c:bar3DChart>
      <c:catAx>
        <c:axId val="11427119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9482896"/>
        <c:crosses val="autoZero"/>
        <c:auto val="1"/>
        <c:lblAlgn val="ctr"/>
        <c:lblOffset val="100"/>
        <c:noMultiLvlLbl val="0"/>
      </c:catAx>
      <c:valAx>
        <c:axId val="5194828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[$₹-439]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427119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[Project_2_Analyzer.xlsx]Pie_Line_Bar chart!PivotTable17</c:name>
    <c:fmtId val="8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</a:t>
            </a:r>
            <a:r>
              <a:rPr lang="en-US" baseline="0"/>
              <a:t> sales by Region</a:t>
            </a:r>
          </a:p>
        </c:rich>
      </c:tx>
      <c:layout>
        <c:manualLayout>
          <c:xMode val="edge"/>
          <c:yMode val="edge"/>
          <c:x val="0.15767143174510065"/>
          <c:y val="3.172269204926092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  <c:marker>
          <c:symbol val="circle"/>
          <c:size val="6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3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4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5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6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7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9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10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11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12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</c:pivotFmts>
    <c:plotArea>
      <c:layout>
        <c:manualLayout>
          <c:layoutTarget val="inner"/>
          <c:xMode val="edge"/>
          <c:yMode val="edge"/>
          <c:x val="0.2046153629314528"/>
          <c:y val="0.2376558346023798"/>
          <c:w val="0.48666520799201579"/>
          <c:h val="0.60373070515131555"/>
        </c:manualLayout>
      </c:layout>
      <c:pieChart>
        <c:varyColors val="1"/>
        <c:ser>
          <c:idx val="0"/>
          <c:order val="0"/>
          <c:tx>
            <c:strRef>
              <c:f>'Pie_Line_Bar chart'!$K$1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9938-4B00-B615-D014916DF14B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9938-4B00-B615-D014916DF14B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9938-4B00-B615-D014916DF14B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9938-4B00-B615-D014916DF14B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9938-4B00-B615-D014916DF14B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dk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'Pie_Line_Bar chart'!$J$2:$J$7</c:f>
              <c:strCache>
                <c:ptCount val="5"/>
                <c:pt idx="0">
                  <c:v>Central</c:v>
                </c:pt>
                <c:pt idx="1">
                  <c:v>East</c:v>
                </c:pt>
                <c:pt idx="2">
                  <c:v>North</c:v>
                </c:pt>
                <c:pt idx="3">
                  <c:v>South</c:v>
                </c:pt>
                <c:pt idx="4">
                  <c:v>West</c:v>
                </c:pt>
              </c:strCache>
            </c:strRef>
          </c:cat>
          <c:val>
            <c:numRef>
              <c:f>'Pie_Line_Bar chart'!$K$2:$K$7</c:f>
              <c:numCache>
                <c:formatCode>[$₹-439]#,##0</c:formatCode>
                <c:ptCount val="5"/>
                <c:pt idx="0">
                  <c:v>43468.33</c:v>
                </c:pt>
                <c:pt idx="1">
                  <c:v>32441.64</c:v>
                </c:pt>
                <c:pt idx="2">
                  <c:v>34975.42</c:v>
                </c:pt>
                <c:pt idx="3">
                  <c:v>40248.79</c:v>
                </c:pt>
                <c:pt idx="4">
                  <c:v>44083.58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9938-4B00-B615-D014916DF14B}"/>
            </c:ext>
          </c:extLst>
        </c:ser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5738303028920018"/>
          <c:y val="0.2927554863188605"/>
          <c:w val="0.18721194251837495"/>
          <c:h val="0.45006881576109897"/>
        </c:manualLayout>
      </c:layout>
      <c:overlay val="0"/>
      <c:spPr>
        <a:solidFill>
          <a:schemeClr val="lt1">
            <a:alpha val="78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pattFill prst="dkDnDiag">
      <a:fgClr>
        <a:schemeClr val="lt1">
          <a:lumMod val="95000"/>
        </a:schemeClr>
      </a:fgClr>
      <a:bgClr>
        <a:schemeClr val="lt1"/>
      </a:bgClr>
    </a:patt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[Project_2_Analyzer.xlsx]Pie_Line_Bar chart!PivotTable18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Total sales by product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'Pie_Line_Bar chart'!$K$16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'Pie_Line_Bar chart'!$J$17:$J$22</c:f>
              <c:strCache>
                <c:ptCount val="5"/>
                <c:pt idx="0">
                  <c:v>Books</c:v>
                </c:pt>
                <c:pt idx="1">
                  <c:v>Clothing</c:v>
                </c:pt>
                <c:pt idx="2">
                  <c:v>Electronics</c:v>
                </c:pt>
                <c:pt idx="3">
                  <c:v>Furniture</c:v>
                </c:pt>
                <c:pt idx="4">
                  <c:v>Office Supplies</c:v>
                </c:pt>
              </c:strCache>
            </c:strRef>
          </c:cat>
          <c:val>
            <c:numRef>
              <c:f>'Pie_Line_Bar chart'!$K$17:$K$22</c:f>
              <c:numCache>
                <c:formatCode>[$₹-439]#,##0</c:formatCode>
                <c:ptCount val="5"/>
                <c:pt idx="0">
                  <c:v>47002.460000000006</c:v>
                </c:pt>
                <c:pt idx="1">
                  <c:v>41927.589999999989</c:v>
                </c:pt>
                <c:pt idx="2">
                  <c:v>41044.000000000007</c:v>
                </c:pt>
                <c:pt idx="3">
                  <c:v>36612.89</c:v>
                </c:pt>
                <c:pt idx="4">
                  <c:v>28630.819999999992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3A9-4DD0-97AC-02552B3E2718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547759504"/>
        <c:axId val="519471376"/>
      </c:barChart>
      <c:catAx>
        <c:axId val="5477595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9471376"/>
        <c:crosses val="autoZero"/>
        <c:auto val="1"/>
        <c:lblAlgn val="ctr"/>
        <c:lblOffset val="100"/>
        <c:noMultiLvlLbl val="0"/>
      </c:catAx>
      <c:valAx>
        <c:axId val="5194713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[$₹-439]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77595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[Project_2_Analyzer.xlsx]Pie_Line_Bar chart!PivotTable19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 sales by region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'Pie_Line_Bar chart'!$K$27</c:f>
              <c:strCache>
                <c:ptCount val="1"/>
                <c:pt idx="0">
                  <c:v>Total</c:v>
                </c:pt>
              </c:strCache>
            </c:strRef>
          </c:tx>
          <c:spPr>
            <a:ln w="34925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1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'Pie_Line_Bar chart'!$J$28:$J$33</c:f>
              <c:strCache>
                <c:ptCount val="5"/>
                <c:pt idx="0">
                  <c:v>Central</c:v>
                </c:pt>
                <c:pt idx="1">
                  <c:v>East</c:v>
                </c:pt>
                <c:pt idx="2">
                  <c:v>North</c:v>
                </c:pt>
                <c:pt idx="3">
                  <c:v>South</c:v>
                </c:pt>
                <c:pt idx="4">
                  <c:v>West</c:v>
                </c:pt>
              </c:strCache>
            </c:strRef>
          </c:cat>
          <c:val>
            <c:numRef>
              <c:f>'Pie_Line_Bar chart'!$K$28:$K$33</c:f>
              <c:numCache>
                <c:formatCode>[$₹-439]#,##0</c:formatCode>
                <c:ptCount val="5"/>
                <c:pt idx="0">
                  <c:v>43468.33</c:v>
                </c:pt>
                <c:pt idx="1">
                  <c:v>32441.64</c:v>
                </c:pt>
                <c:pt idx="2">
                  <c:v>34975.42</c:v>
                </c:pt>
                <c:pt idx="3">
                  <c:v>40248.79</c:v>
                </c:pt>
                <c:pt idx="4">
                  <c:v>44083.58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1BB-4B25-8C2E-FA20FF89EE85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142739328"/>
        <c:axId val="519582736"/>
      </c:lineChart>
      <c:catAx>
        <c:axId val="11427393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9582736"/>
        <c:crosses val="autoZero"/>
        <c:auto val="1"/>
        <c:lblAlgn val="ctr"/>
        <c:lblOffset val="100"/>
        <c:noMultiLvlLbl val="0"/>
      </c:catAx>
      <c:valAx>
        <c:axId val="5195827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[$₹-439]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427393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[Project_2_Analyzer.xlsx]Pie_Line_Bar chart!PivotTable20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Top</a:t>
            </a:r>
            <a:r>
              <a:rPr lang="en-US" b="1" baseline="0"/>
              <a:t> 10 Highest sales customers</a:t>
            </a:r>
            <a:endParaRPr lang="en-U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'Pie_Line_Bar chart'!$K$41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'Pie_Line_Bar chart'!$J$42:$J$52</c:f>
              <c:strCache>
                <c:ptCount val="10"/>
                <c:pt idx="0">
                  <c:v>David Brown</c:v>
                </c:pt>
                <c:pt idx="1">
                  <c:v>Emma Davis</c:v>
                </c:pt>
                <c:pt idx="2">
                  <c:v>Emma Wilson</c:v>
                </c:pt>
                <c:pt idx="3">
                  <c:v>James Wilson</c:v>
                </c:pt>
                <c:pt idx="4">
                  <c:v>Linda Wilson</c:v>
                </c:pt>
                <c:pt idx="5">
                  <c:v>Lisa Davis</c:v>
                </c:pt>
                <c:pt idx="6">
                  <c:v>Lisa Thomas</c:v>
                </c:pt>
                <c:pt idx="7">
                  <c:v>Mary Davis</c:v>
                </c:pt>
                <c:pt idx="8">
                  <c:v>Michael Anderson</c:v>
                </c:pt>
                <c:pt idx="9">
                  <c:v>Robert Anderson</c:v>
                </c:pt>
              </c:strCache>
            </c:strRef>
          </c:cat>
          <c:val>
            <c:numRef>
              <c:f>'Pie_Line_Bar chart'!$K$42:$K$52</c:f>
              <c:numCache>
                <c:formatCode>[$₹-439]#,##0</c:formatCode>
                <c:ptCount val="10"/>
                <c:pt idx="0">
                  <c:v>11915.829999999998</c:v>
                </c:pt>
                <c:pt idx="1">
                  <c:v>11398.32</c:v>
                </c:pt>
                <c:pt idx="2">
                  <c:v>8543.9699999999993</c:v>
                </c:pt>
                <c:pt idx="3">
                  <c:v>20774.739999999998</c:v>
                </c:pt>
                <c:pt idx="4">
                  <c:v>9970.1999999999989</c:v>
                </c:pt>
                <c:pt idx="5">
                  <c:v>8090.12</c:v>
                </c:pt>
                <c:pt idx="6">
                  <c:v>8635.9500000000007</c:v>
                </c:pt>
                <c:pt idx="7">
                  <c:v>17143.289999999997</c:v>
                </c:pt>
                <c:pt idx="8">
                  <c:v>7881.9</c:v>
                </c:pt>
                <c:pt idx="9">
                  <c:v>8331.8499999999985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70A-4F78-A5A1-0ECAE30D930A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shape val="box"/>
        <c:axId val="1142711952"/>
        <c:axId val="519482896"/>
        <c:axId val="0"/>
      </c:bar3DChart>
      <c:catAx>
        <c:axId val="11427119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9482896"/>
        <c:crosses val="autoZero"/>
        <c:auto val="1"/>
        <c:lblAlgn val="ctr"/>
        <c:lblOffset val="100"/>
        <c:noMultiLvlLbl val="0"/>
      </c:catAx>
      <c:valAx>
        <c:axId val="5194828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[$₹-439]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427119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61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pattFill prst="dkDnDiag">
        <a:fgClr>
          <a:schemeClr val="lt1">
            <a:lumMod val="95000"/>
          </a:schemeClr>
        </a:fgClr>
        <a:bgClr>
          <a:schemeClr val="lt1"/>
        </a:bgClr>
      </a:patt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5000"/>
        </a:schemeClr>
      </a:solidFill>
      <a:ln w="9525"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317500" algn="ctr" rotWithShape="0">
          <a:prstClr val="black">
            <a:alpha val="25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20000"/>
          </a:prstClr>
        </a:outerShdw>
      </a:effectLst>
      <a:scene3d>
        <a:camera prst="orthographicFront"/>
        <a:lightRig rig="threePt" dir="t"/>
      </a:scene3d>
      <a:sp3d prstMaterial="matte"/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noFill/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8000"/>
        </a:schemeClr>
      </a:solidFill>
    </cs:spPr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4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61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pattFill prst="dkDnDiag">
        <a:fgClr>
          <a:schemeClr val="lt1">
            <a:lumMod val="95000"/>
          </a:schemeClr>
        </a:fgClr>
        <a:bgClr>
          <a:schemeClr val="lt1"/>
        </a:bgClr>
      </a:patt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5000"/>
        </a:schemeClr>
      </a:solidFill>
      <a:ln w="9525"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317500" algn="ctr" rotWithShape="0">
          <a:prstClr val="black">
            <a:alpha val="25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20000"/>
          </a:prstClr>
        </a:outerShdw>
      </a:effectLst>
      <a:scene3d>
        <a:camera prst="orthographicFront"/>
        <a:lightRig rig="threePt" dir="t"/>
      </a:scene3d>
      <a:sp3d prstMaterial="matte"/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noFill/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8000"/>
        </a:schemeClr>
      </a:solidFill>
    </cs:spPr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34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Relationship Id="rId4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128682</xdr:colOff>
      <xdr:row>0</xdr:row>
      <xdr:rowOff>65602</xdr:rowOff>
    </xdr:from>
    <xdr:to>
      <xdr:col>17</xdr:col>
      <xdr:colOff>211947</xdr:colOff>
      <xdr:row>12</xdr:row>
      <xdr:rowOff>105974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D80D871-C4CD-D13F-7DF7-419AC698239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78219</xdr:colOff>
      <xdr:row>13</xdr:row>
      <xdr:rowOff>10093</xdr:rowOff>
    </xdr:from>
    <xdr:to>
      <xdr:col>17</xdr:col>
      <xdr:colOff>237179</xdr:colOff>
      <xdr:row>25</xdr:row>
      <xdr:rowOff>65603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90FE683D-A23B-338B-D6C5-A2668283AB7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11</xdr:col>
      <xdr:colOff>63079</xdr:colOff>
      <xdr:row>25</xdr:row>
      <xdr:rowOff>132214</xdr:rowOff>
    </xdr:from>
    <xdr:to>
      <xdr:col>17</xdr:col>
      <xdr:colOff>227086</xdr:colOff>
      <xdr:row>39</xdr:row>
      <xdr:rowOff>20186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DF8286DE-EAC1-FCE4-3357-11774F934CA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11</xdr:col>
      <xdr:colOff>40688</xdr:colOff>
      <xdr:row>39</xdr:row>
      <xdr:rowOff>130206</xdr:rowOff>
    </xdr:from>
    <xdr:to>
      <xdr:col>17</xdr:col>
      <xdr:colOff>426936</xdr:colOff>
      <xdr:row>54</xdr:row>
      <xdr:rowOff>27021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2FDDF3C3-EA21-A6E0-3AB8-C485600B2A8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2</xdr:row>
      <xdr:rowOff>0</xdr:rowOff>
    </xdr:from>
    <xdr:to>
      <xdr:col>7</xdr:col>
      <xdr:colOff>581186</xdr:colOff>
      <xdr:row>19</xdr:row>
      <xdr:rowOff>83949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03FA7F6-59A9-49C9-A0F4-F274DCC0E2C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0</xdr:colOff>
      <xdr:row>2</xdr:row>
      <xdr:rowOff>0</xdr:rowOff>
    </xdr:from>
    <xdr:to>
      <xdr:col>16</xdr:col>
      <xdr:colOff>200187</xdr:colOff>
      <xdr:row>19</xdr:row>
      <xdr:rowOff>83949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1633B11-AE20-46A0-9EAD-A6E393EA044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0</xdr:colOff>
      <xdr:row>22</xdr:row>
      <xdr:rowOff>0</xdr:rowOff>
    </xdr:from>
    <xdr:to>
      <xdr:col>8</xdr:col>
      <xdr:colOff>6804</xdr:colOff>
      <xdr:row>40</xdr:row>
      <xdr:rowOff>47625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2789C465-246F-47B9-B6A7-F5A41AC2F42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408215</xdr:colOff>
      <xdr:row>22</xdr:row>
      <xdr:rowOff>0</xdr:rowOff>
    </xdr:from>
    <xdr:to>
      <xdr:col>16</xdr:col>
      <xdr:colOff>496660</xdr:colOff>
      <xdr:row>40</xdr:row>
      <xdr:rowOff>47625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A9AA789E-01AC-4871-BC86-8940EA99771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harmendra" refreshedDate="46324.95482337963" createdVersion="8" refreshedVersion="8" minRefreshableVersion="3" recordCount="200" xr:uid="{2C66021A-FB26-4EEF-ADE2-9B7CB90BBF79}">
  <cacheSource type="worksheet">
    <worksheetSource ref="A1:H201" sheet="Pivot_table"/>
  </cacheSource>
  <cacheFields count="8">
    <cacheField name="Customer_Name" numFmtId="0">
      <sharedItems/>
    </cacheField>
    <cacheField name="Region" numFmtId="0">
      <sharedItems count="5">
        <s v="West"/>
        <s v="East"/>
        <s v="South"/>
        <s v="North"/>
        <s v="Central"/>
      </sharedItems>
    </cacheField>
    <cacheField name="Product_Category" numFmtId="0">
      <sharedItems count="5">
        <s v="Books"/>
        <s v="Clothing"/>
        <s v="Electronics"/>
        <s v="Furniture"/>
        <s v="Office Supplies"/>
      </sharedItems>
    </cacheField>
    <cacheField name="Sales" numFmtId="165">
      <sharedItems containsSemiMixedTypes="0" containsString="0" containsNumber="1" minValue="258.51" maxValue="1923.66"/>
    </cacheField>
    <cacheField name="Quantity" numFmtId="0">
      <sharedItems containsSemiMixedTypes="0" containsString="0" containsNumber="1" containsInteger="1" minValue="1" maxValue="19"/>
    </cacheField>
    <cacheField name="Discount" numFmtId="9">
      <sharedItems containsSemiMixedTypes="0" containsString="0" containsNumber="1" minValue="0" maxValue="0.2"/>
    </cacheField>
    <cacheField name="Order_Date" numFmtId="14">
      <sharedItems containsSemiMixedTypes="0" containsNonDate="0" containsDate="1" containsString="0" minDate="2024-04-10T00:00:00" maxDate="2025-04-08T00:00:00"/>
    </cacheField>
    <cacheField name="Profit" numFmtId="165">
      <sharedItems containsSemiMixedTypes="0" containsString="0" containsNumber="1" minValue="64.63" maxValue="769.46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harmendra" refreshedDate="46324.962560416665" createdVersion="8" refreshedVersion="8" minRefreshableVersion="3" recordCount="200" xr:uid="{5081150A-A0E2-4DC9-BC18-79B81A7621D3}">
  <cacheSource type="worksheet">
    <worksheetSource ref="A1:H201" sheet="Pie_Line_Bar chart"/>
  </cacheSource>
  <cacheFields count="8">
    <cacheField name="Customer_Name" numFmtId="0">
      <sharedItems count="27">
        <s v="James Davis"/>
        <s v="Robert Anderson"/>
        <s v="James Taylor"/>
        <s v="James Wilson"/>
        <s v="Michael Anderson"/>
        <s v="Linda Wilson"/>
        <s v="Mary Davis"/>
        <s v="Linda Jackson"/>
        <s v="David Thomas"/>
        <s v="Emma Davis"/>
        <s v="David Smith"/>
        <s v="Sarah Anderson"/>
        <s v="Lisa Thomas"/>
        <s v="Mary Jackson"/>
        <s v="Lisa Davis"/>
        <s v="Linda Brown"/>
        <s v="John Brown"/>
        <s v="Linda Taylor"/>
        <s v="David Brown"/>
        <s v="David Davis"/>
        <s v="Mary Wilson"/>
        <s v="Emma Wilson"/>
        <s v="Linda Davis"/>
        <s v="Sarah Davis"/>
        <s v="Emma Taylor"/>
        <s v="Linda Moore"/>
        <s v="David Anderson"/>
      </sharedItems>
    </cacheField>
    <cacheField name="Region" numFmtId="0">
      <sharedItems count="5">
        <s v="West"/>
        <s v="East"/>
        <s v="South"/>
        <s v="North"/>
        <s v="Central"/>
      </sharedItems>
    </cacheField>
    <cacheField name="Product_Category" numFmtId="0">
      <sharedItems count="5">
        <s v="Books"/>
        <s v="Clothing"/>
        <s v="Electronics"/>
        <s v="Furniture"/>
        <s v="Office Supplies"/>
      </sharedItems>
    </cacheField>
    <cacheField name="Sales" numFmtId="165">
      <sharedItems containsSemiMixedTypes="0" containsString="0" containsNumber="1" minValue="258.51" maxValue="1923.66"/>
    </cacheField>
    <cacheField name="Quantity" numFmtId="0">
      <sharedItems containsSemiMixedTypes="0" containsString="0" containsNumber="1" containsInteger="1" minValue="1" maxValue="19"/>
    </cacheField>
    <cacheField name="Discount" numFmtId="9">
      <sharedItems containsSemiMixedTypes="0" containsString="0" containsNumber="1" minValue="0" maxValue="0.2"/>
    </cacheField>
    <cacheField name="Order_Date" numFmtId="14">
      <sharedItems containsSemiMixedTypes="0" containsNonDate="0" containsDate="1" containsString="0" minDate="2024-04-10T00:00:00" maxDate="2025-04-08T00:00:00"/>
    </cacheField>
    <cacheField name="Profit" numFmtId="165">
      <sharedItems containsSemiMixedTypes="0" containsString="0" containsNumber="1" minValue="64.63" maxValue="769.46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0">
  <r>
    <s v="James Davis"/>
    <x v="0"/>
    <x v="0"/>
    <n v="1036.0899999999999"/>
    <n v="4"/>
    <n v="0.2"/>
    <d v="2024-04-10T00:00:00"/>
    <n v="331.55"/>
  </r>
  <r>
    <s v="Robert Anderson"/>
    <x v="0"/>
    <x v="1"/>
    <n v="1101.28"/>
    <n v="3"/>
    <n v="0.2"/>
    <d v="2024-04-11T00:00:00"/>
    <n v="440.51"/>
  </r>
  <r>
    <s v="James Taylor"/>
    <x v="1"/>
    <x v="0"/>
    <n v="713.34"/>
    <n v="17"/>
    <n v="0"/>
    <d v="2024-04-14T00:00:00"/>
    <n v="285.33999999999997"/>
  </r>
  <r>
    <s v="Robert Anderson"/>
    <x v="2"/>
    <x v="2"/>
    <n v="760.93"/>
    <n v="4"/>
    <n v="0.15"/>
    <d v="2024-04-14T00:00:00"/>
    <n v="161.69999999999999"/>
  </r>
  <r>
    <s v="James Wilson"/>
    <x v="3"/>
    <x v="0"/>
    <n v="847"/>
    <n v="12"/>
    <n v="0.2"/>
    <d v="2024-04-15T00:00:00"/>
    <n v="271.04000000000002"/>
  </r>
  <r>
    <s v="Michael Anderson"/>
    <x v="3"/>
    <x v="3"/>
    <n v="965.64"/>
    <n v="8"/>
    <n v="0.1"/>
    <d v="2024-04-16T00:00:00"/>
    <n v="304.18"/>
  </r>
  <r>
    <s v="Linda Wilson"/>
    <x v="0"/>
    <x v="2"/>
    <n v="1317.53"/>
    <n v="12"/>
    <n v="0.05"/>
    <d v="2024-04-16T00:00:00"/>
    <n v="312.91000000000003"/>
  </r>
  <r>
    <s v="Mary Davis"/>
    <x v="1"/>
    <x v="3"/>
    <n v="1074.47"/>
    <n v="6"/>
    <n v="0.2"/>
    <d v="2024-04-19T00:00:00"/>
    <n v="300.85000000000002"/>
  </r>
  <r>
    <s v="Linda Jackson"/>
    <x v="4"/>
    <x v="0"/>
    <n v="501.54"/>
    <n v="11"/>
    <n v="0.05"/>
    <d v="2024-04-19T00:00:00"/>
    <n v="190.59"/>
  </r>
  <r>
    <s v="David Thomas"/>
    <x v="4"/>
    <x v="1"/>
    <n v="737.31"/>
    <n v="2"/>
    <n v="0.05"/>
    <d v="2024-04-19T00:00:00"/>
    <n v="350.22"/>
  </r>
  <r>
    <s v="Emma Davis"/>
    <x v="0"/>
    <x v="4"/>
    <n v="1572.82"/>
    <n v="6"/>
    <n v="0.05"/>
    <d v="2024-04-20T00:00:00"/>
    <n v="672.38"/>
  </r>
  <r>
    <s v="David Thomas"/>
    <x v="4"/>
    <x v="0"/>
    <n v="1343.13"/>
    <n v="14"/>
    <n v="0.15"/>
    <d v="2024-04-22T00:00:00"/>
    <n v="456.66"/>
  </r>
  <r>
    <s v="Michael Anderson"/>
    <x v="4"/>
    <x v="0"/>
    <n v="1191.58"/>
    <n v="14"/>
    <n v="0.05"/>
    <d v="2024-04-24T00:00:00"/>
    <n v="452.8"/>
  </r>
  <r>
    <s v="Robert Anderson"/>
    <x v="0"/>
    <x v="3"/>
    <n v="822.28"/>
    <n v="7"/>
    <n v="0.05"/>
    <d v="2024-04-24T00:00:00"/>
    <n v="273.41000000000003"/>
  </r>
  <r>
    <s v="David Smith"/>
    <x v="3"/>
    <x v="3"/>
    <n v="521.66999999999996"/>
    <n v="15"/>
    <n v="0.15"/>
    <d v="2024-04-27T00:00:00"/>
    <n v="155.19999999999999"/>
  </r>
  <r>
    <s v="Sarah Anderson"/>
    <x v="2"/>
    <x v="2"/>
    <n v="1502.93"/>
    <n v="14"/>
    <n v="0.2"/>
    <d v="2024-04-28T00:00:00"/>
    <n v="300.58999999999997"/>
  </r>
  <r>
    <s v="Robert Anderson"/>
    <x v="2"/>
    <x v="0"/>
    <n v="877.58"/>
    <n v="10"/>
    <n v="0.15"/>
    <d v="2024-04-29T00:00:00"/>
    <n v="298.38"/>
  </r>
  <r>
    <s v="Lisa Thomas"/>
    <x v="0"/>
    <x v="0"/>
    <n v="636.70000000000005"/>
    <n v="4"/>
    <n v="0.2"/>
    <d v="2024-04-29T00:00:00"/>
    <n v="203.74"/>
  </r>
  <r>
    <s v="Mary Jackson"/>
    <x v="0"/>
    <x v="0"/>
    <n v="1506.14"/>
    <n v="13"/>
    <n v="0.2"/>
    <d v="2024-04-30T00:00:00"/>
    <n v="481.96"/>
  </r>
  <r>
    <s v="Mary Davis"/>
    <x v="4"/>
    <x v="2"/>
    <n v="645.02"/>
    <n v="4"/>
    <n v="0"/>
    <d v="2024-05-02T00:00:00"/>
    <n v="161.26"/>
  </r>
  <r>
    <s v="Lisa Davis"/>
    <x v="2"/>
    <x v="1"/>
    <n v="953.3"/>
    <n v="11"/>
    <n v="0"/>
    <d v="2024-05-03T00:00:00"/>
    <n v="476.65"/>
  </r>
  <r>
    <s v="Robert Anderson"/>
    <x v="3"/>
    <x v="2"/>
    <n v="388.56"/>
    <n v="14"/>
    <n v="0.15"/>
    <d v="2024-05-04T00:00:00"/>
    <n v="82.57"/>
  </r>
  <r>
    <s v="Mary Davis"/>
    <x v="0"/>
    <x v="0"/>
    <n v="743.17"/>
    <n v="9"/>
    <n v="0"/>
    <d v="2024-05-04T00:00:00"/>
    <n v="297.27"/>
  </r>
  <r>
    <s v="Mary Davis"/>
    <x v="4"/>
    <x v="2"/>
    <n v="706.37"/>
    <n v="6"/>
    <n v="0"/>
    <d v="2024-05-04T00:00:00"/>
    <n v="176.59"/>
  </r>
  <r>
    <s v="Mary Davis"/>
    <x v="4"/>
    <x v="4"/>
    <n v="925.31"/>
    <n v="8"/>
    <n v="0.1"/>
    <d v="2024-05-06T00:00:00"/>
    <n v="374.75"/>
  </r>
  <r>
    <s v="Linda Brown"/>
    <x v="2"/>
    <x v="2"/>
    <n v="1173.1199999999999"/>
    <n v="18"/>
    <n v="0"/>
    <d v="2024-05-06T00:00:00"/>
    <n v="293.27999999999997"/>
  </r>
  <r>
    <s v="John Brown"/>
    <x v="3"/>
    <x v="3"/>
    <n v="675.54"/>
    <n v="17"/>
    <n v="0"/>
    <d v="2024-05-08T00:00:00"/>
    <n v="236.44"/>
  </r>
  <r>
    <s v="Robert Anderson"/>
    <x v="4"/>
    <x v="0"/>
    <n v="939.09"/>
    <n v="2"/>
    <n v="0.05"/>
    <d v="2024-05-10T00:00:00"/>
    <n v="356.85"/>
  </r>
  <r>
    <s v="Linda Taylor"/>
    <x v="1"/>
    <x v="4"/>
    <n v="983.34"/>
    <n v="19"/>
    <n v="0.1"/>
    <d v="2024-05-14T00:00:00"/>
    <n v="398.25"/>
  </r>
  <r>
    <s v="James Wilson"/>
    <x v="2"/>
    <x v="2"/>
    <n v="801.21"/>
    <n v="3"/>
    <n v="0.2"/>
    <d v="2024-05-14T00:00:00"/>
    <n v="160.24"/>
  </r>
  <r>
    <s v="David Brown"/>
    <x v="3"/>
    <x v="2"/>
    <n v="1450.71"/>
    <n v="5"/>
    <n v="0.1"/>
    <d v="2024-05-15T00:00:00"/>
    <n v="326.41000000000003"/>
  </r>
  <r>
    <s v="David Davis"/>
    <x v="4"/>
    <x v="0"/>
    <n v="1023.21"/>
    <n v="18"/>
    <n v="0.05"/>
    <d v="2024-05-16T00:00:00"/>
    <n v="388.82"/>
  </r>
  <r>
    <s v="Mary Jackson"/>
    <x v="0"/>
    <x v="3"/>
    <n v="853.72"/>
    <n v="5"/>
    <n v="0.15"/>
    <d v="2024-05-16T00:00:00"/>
    <n v="253.98"/>
  </r>
  <r>
    <s v="Sarah Anderson"/>
    <x v="2"/>
    <x v="2"/>
    <n v="967.89"/>
    <n v="10"/>
    <n v="0.1"/>
    <d v="2024-05-17T00:00:00"/>
    <n v="217.78"/>
  </r>
  <r>
    <s v="Linda Taylor"/>
    <x v="3"/>
    <x v="4"/>
    <n v="1200.9000000000001"/>
    <n v="14"/>
    <n v="0.05"/>
    <d v="2024-05-17T00:00:00"/>
    <n v="513.38"/>
  </r>
  <r>
    <s v="Michael Anderson"/>
    <x v="0"/>
    <x v="0"/>
    <n v="472.38"/>
    <n v="12"/>
    <n v="0.2"/>
    <d v="2024-05-17T00:00:00"/>
    <n v="151.16"/>
  </r>
  <r>
    <s v="David Brown"/>
    <x v="1"/>
    <x v="4"/>
    <n v="840.92"/>
    <n v="9"/>
    <n v="0.05"/>
    <d v="2024-05-17T00:00:00"/>
    <n v="359.49"/>
  </r>
  <r>
    <s v="Lisa Davis"/>
    <x v="4"/>
    <x v="3"/>
    <n v="1410.06"/>
    <n v="11"/>
    <n v="0.05"/>
    <d v="2024-05-22T00:00:00"/>
    <n v="468.84"/>
  </r>
  <r>
    <s v="Mary Wilson"/>
    <x v="4"/>
    <x v="3"/>
    <n v="773.09"/>
    <n v="13"/>
    <n v="0.15"/>
    <d v="2024-05-22T00:00:00"/>
    <n v="229.99"/>
  </r>
  <r>
    <s v="Emma Wilson"/>
    <x v="1"/>
    <x v="0"/>
    <n v="580.42999999999995"/>
    <n v="19"/>
    <n v="0.15"/>
    <d v="2024-05-23T00:00:00"/>
    <n v="197.35"/>
  </r>
  <r>
    <s v="David Smith"/>
    <x v="2"/>
    <x v="0"/>
    <n v="1151.21"/>
    <n v="15"/>
    <n v="0.1"/>
    <d v="2024-06-02T00:00:00"/>
    <n v="414.44"/>
  </r>
  <r>
    <s v="James Wilson"/>
    <x v="4"/>
    <x v="4"/>
    <n v="1025.98"/>
    <n v="5"/>
    <n v="0.2"/>
    <d v="2024-06-04T00:00:00"/>
    <n v="369.35"/>
  </r>
  <r>
    <s v="David Davis"/>
    <x v="1"/>
    <x v="4"/>
    <n v="556.41999999999996"/>
    <n v="11"/>
    <n v="0.15"/>
    <d v="2024-06-04T00:00:00"/>
    <n v="212.83"/>
  </r>
  <r>
    <s v="James Wilson"/>
    <x v="4"/>
    <x v="0"/>
    <n v="840.85"/>
    <n v="19"/>
    <n v="0.1"/>
    <d v="2024-06-05T00:00:00"/>
    <n v="302.70999999999998"/>
  </r>
  <r>
    <s v="Emma Wilson"/>
    <x v="3"/>
    <x v="3"/>
    <n v="1227.25"/>
    <n v="12"/>
    <n v="0.15"/>
    <d v="2024-06-05T00:00:00"/>
    <n v="365.11"/>
  </r>
  <r>
    <s v="Linda Davis"/>
    <x v="4"/>
    <x v="2"/>
    <n v="856.7"/>
    <n v="2"/>
    <n v="0"/>
    <d v="2024-06-06T00:00:00"/>
    <n v="214.18"/>
  </r>
  <r>
    <s v="David Davis"/>
    <x v="4"/>
    <x v="4"/>
    <n v="1225.42"/>
    <n v="8"/>
    <n v="0.15"/>
    <d v="2024-06-06T00:00:00"/>
    <n v="468.72"/>
  </r>
  <r>
    <s v="Mary Davis"/>
    <x v="3"/>
    <x v="4"/>
    <n v="1001.57"/>
    <n v="12"/>
    <n v="0"/>
    <d v="2024-06-07T00:00:00"/>
    <n v="450.71"/>
  </r>
  <r>
    <s v="Michael Anderson"/>
    <x v="1"/>
    <x v="3"/>
    <n v="1186.8499999999999"/>
    <n v="19"/>
    <n v="0.2"/>
    <d v="2024-06-08T00:00:00"/>
    <n v="332.32"/>
  </r>
  <r>
    <s v="John Brown"/>
    <x v="2"/>
    <x v="2"/>
    <n v="775.45"/>
    <n v="6"/>
    <n v="0.1"/>
    <d v="2024-06-14T00:00:00"/>
    <n v="174.48"/>
  </r>
  <r>
    <s v="Linda Jackson"/>
    <x v="2"/>
    <x v="2"/>
    <n v="1021.47"/>
    <n v="6"/>
    <n v="0.05"/>
    <d v="2024-06-18T00:00:00"/>
    <n v="242.6"/>
  </r>
  <r>
    <s v="James Wilson"/>
    <x v="2"/>
    <x v="1"/>
    <n v="1226.6199999999999"/>
    <n v="7"/>
    <n v="0.1"/>
    <d v="2024-06-20T00:00:00"/>
    <n v="551.98"/>
  </r>
  <r>
    <s v="Sarah Davis"/>
    <x v="2"/>
    <x v="3"/>
    <n v="1086.93"/>
    <n v="2"/>
    <n v="0"/>
    <d v="2024-06-21T00:00:00"/>
    <n v="380.43"/>
  </r>
  <r>
    <s v="Lisa Davis"/>
    <x v="0"/>
    <x v="0"/>
    <n v="942.9"/>
    <n v="18"/>
    <n v="0.1"/>
    <d v="2024-06-23T00:00:00"/>
    <n v="339.44"/>
  </r>
  <r>
    <s v="Emma Davis"/>
    <x v="3"/>
    <x v="2"/>
    <n v="818.8"/>
    <n v="15"/>
    <n v="0.15"/>
    <d v="2024-06-25T00:00:00"/>
    <n v="173.99"/>
  </r>
  <r>
    <s v="Robert Anderson"/>
    <x v="2"/>
    <x v="3"/>
    <n v="919.04"/>
    <n v="10"/>
    <n v="0.2"/>
    <d v="2024-06-25T00:00:00"/>
    <n v="257.33"/>
  </r>
  <r>
    <s v="Emma Taylor"/>
    <x v="4"/>
    <x v="0"/>
    <n v="973.26"/>
    <n v="11"/>
    <n v="0"/>
    <d v="2024-06-27T00:00:00"/>
    <n v="389.3"/>
  </r>
  <r>
    <s v="Sarah Davis"/>
    <x v="3"/>
    <x v="2"/>
    <n v="741.61"/>
    <n v="1"/>
    <n v="0.2"/>
    <d v="2024-06-28T00:00:00"/>
    <n v="148.32"/>
  </r>
  <r>
    <s v="Emma Davis"/>
    <x v="3"/>
    <x v="0"/>
    <n v="1248.82"/>
    <n v="2"/>
    <n v="0.1"/>
    <d v="2024-06-30T00:00:00"/>
    <n v="449.58"/>
  </r>
  <r>
    <s v="Mary Wilson"/>
    <x v="0"/>
    <x v="1"/>
    <n v="1360.36"/>
    <n v="17"/>
    <n v="0"/>
    <d v="2024-06-30T00:00:00"/>
    <n v="680.18"/>
  </r>
  <r>
    <s v="Mary Davis"/>
    <x v="1"/>
    <x v="0"/>
    <n v="1383.3"/>
    <n v="8"/>
    <n v="0.1"/>
    <d v="2024-07-05T00:00:00"/>
    <n v="497.99"/>
  </r>
  <r>
    <s v="David Brown"/>
    <x v="4"/>
    <x v="4"/>
    <n v="488.99"/>
    <n v="9"/>
    <n v="0"/>
    <d v="2024-07-06T00:00:00"/>
    <n v="220.05"/>
  </r>
  <r>
    <s v="Mary Davis"/>
    <x v="1"/>
    <x v="3"/>
    <n v="933.71"/>
    <n v="17"/>
    <n v="0.1"/>
    <d v="2024-07-08T00:00:00"/>
    <n v="294.12"/>
  </r>
  <r>
    <s v="James Davis"/>
    <x v="0"/>
    <x v="2"/>
    <n v="1005.53"/>
    <n v="17"/>
    <n v="0.2"/>
    <d v="2024-07-08T00:00:00"/>
    <n v="201.11"/>
  </r>
  <r>
    <s v="Emma Wilson"/>
    <x v="2"/>
    <x v="2"/>
    <n v="1100.0999999999999"/>
    <n v="5"/>
    <n v="0.05"/>
    <d v="2024-07-09T00:00:00"/>
    <n v="261.27"/>
  </r>
  <r>
    <s v="James Wilson"/>
    <x v="3"/>
    <x v="3"/>
    <n v="1034.7"/>
    <n v="15"/>
    <n v="0.15"/>
    <d v="2024-07-14T00:00:00"/>
    <n v="307.82"/>
  </r>
  <r>
    <s v="Mary Davis"/>
    <x v="2"/>
    <x v="0"/>
    <n v="876.44"/>
    <n v="12"/>
    <n v="0.05"/>
    <d v="2024-07-15T00:00:00"/>
    <n v="333.05"/>
  </r>
  <r>
    <s v="David Brown"/>
    <x v="0"/>
    <x v="3"/>
    <n v="1371.34"/>
    <n v="5"/>
    <n v="0.05"/>
    <d v="2024-07-15T00:00:00"/>
    <n v="455.97"/>
  </r>
  <r>
    <s v="Mary Jackson"/>
    <x v="3"/>
    <x v="2"/>
    <n v="1020.26"/>
    <n v="11"/>
    <n v="0.05"/>
    <d v="2024-07-21T00:00:00"/>
    <n v="242.31"/>
  </r>
  <r>
    <s v="James Davis"/>
    <x v="4"/>
    <x v="4"/>
    <n v="804.81"/>
    <n v="1"/>
    <n v="0.05"/>
    <d v="2024-07-29T00:00:00"/>
    <n v="344.06"/>
  </r>
  <r>
    <s v="David Brown"/>
    <x v="4"/>
    <x v="2"/>
    <n v="608.66"/>
    <n v="1"/>
    <n v="0.05"/>
    <d v="2024-07-30T00:00:00"/>
    <n v="144.56"/>
  </r>
  <r>
    <s v="Linda Moore"/>
    <x v="2"/>
    <x v="4"/>
    <n v="981.2"/>
    <n v="19"/>
    <n v="0"/>
    <d v="2024-07-31T00:00:00"/>
    <n v="441.54"/>
  </r>
  <r>
    <s v="David Brown"/>
    <x v="1"/>
    <x v="2"/>
    <n v="539.77"/>
    <n v="10"/>
    <n v="0.15"/>
    <d v="2024-08-05T00:00:00"/>
    <n v="114.7"/>
  </r>
  <r>
    <s v="David Anderson"/>
    <x v="2"/>
    <x v="0"/>
    <n v="804.45"/>
    <n v="5"/>
    <n v="0.2"/>
    <d v="2024-08-05T00:00:00"/>
    <n v="257.42"/>
  </r>
  <r>
    <s v="Emma Davis"/>
    <x v="0"/>
    <x v="2"/>
    <n v="1526.6"/>
    <n v="13"/>
    <n v="0.2"/>
    <d v="2024-08-08T00:00:00"/>
    <n v="305.32"/>
  </r>
  <r>
    <s v="Linda Wilson"/>
    <x v="0"/>
    <x v="2"/>
    <n v="1215.26"/>
    <n v="5"/>
    <n v="0.15"/>
    <d v="2024-08-09T00:00:00"/>
    <n v="258.24"/>
  </r>
  <r>
    <s v="Linda Taylor"/>
    <x v="4"/>
    <x v="3"/>
    <n v="1261.3399999999999"/>
    <n v="3"/>
    <n v="0"/>
    <d v="2024-08-15T00:00:00"/>
    <n v="441.47"/>
  </r>
  <r>
    <s v="Lisa Thomas"/>
    <x v="3"/>
    <x v="3"/>
    <n v="518.07000000000005"/>
    <n v="7"/>
    <n v="0.05"/>
    <d v="2024-08-18T00:00:00"/>
    <n v="172.26"/>
  </r>
  <r>
    <s v="Linda Wilson"/>
    <x v="0"/>
    <x v="4"/>
    <n v="1111.3399999999999"/>
    <n v="1"/>
    <n v="0"/>
    <d v="2024-08-19T00:00:00"/>
    <n v="500.1"/>
  </r>
  <r>
    <s v="Mary Davis"/>
    <x v="1"/>
    <x v="1"/>
    <n v="1291.47"/>
    <n v="18"/>
    <n v="0.1"/>
    <d v="2024-08-22T00:00:00"/>
    <n v="581.16"/>
  </r>
  <r>
    <s v="David Brown"/>
    <x v="3"/>
    <x v="0"/>
    <n v="679.71"/>
    <n v="19"/>
    <n v="0"/>
    <d v="2024-08-30T00:00:00"/>
    <n v="271.88"/>
  </r>
  <r>
    <s v="Linda Jackson"/>
    <x v="1"/>
    <x v="3"/>
    <n v="1143.69"/>
    <n v="17"/>
    <n v="0"/>
    <d v="2024-08-30T00:00:00"/>
    <n v="400.29"/>
  </r>
  <r>
    <s v="Linda Brown"/>
    <x v="4"/>
    <x v="2"/>
    <n v="790.08"/>
    <n v="7"/>
    <n v="0.1"/>
    <d v="2024-09-01T00:00:00"/>
    <n v="177.77"/>
  </r>
  <r>
    <s v="Lisa Davis"/>
    <x v="4"/>
    <x v="0"/>
    <n v="1070.68"/>
    <n v="7"/>
    <n v="0.05"/>
    <d v="2024-09-01T00:00:00"/>
    <n v="406.86"/>
  </r>
  <r>
    <s v="David Thomas"/>
    <x v="0"/>
    <x v="1"/>
    <n v="1168.8900000000001"/>
    <n v="4"/>
    <n v="0.1"/>
    <d v="2024-09-09T00:00:00"/>
    <n v="526"/>
  </r>
  <r>
    <s v="James Davis"/>
    <x v="2"/>
    <x v="2"/>
    <n v="1335.87"/>
    <n v="17"/>
    <n v="0"/>
    <d v="2024-09-09T00:00:00"/>
    <n v="333.97"/>
  </r>
  <r>
    <s v="David Brown"/>
    <x v="1"/>
    <x v="3"/>
    <n v="873.7"/>
    <n v="9"/>
    <n v="0"/>
    <d v="2024-09-11T00:00:00"/>
    <n v="305.8"/>
  </r>
  <r>
    <s v="Sarah Davis"/>
    <x v="0"/>
    <x v="4"/>
    <n v="1443.98"/>
    <n v="19"/>
    <n v="0"/>
    <d v="2024-09-12T00:00:00"/>
    <n v="649.79"/>
  </r>
  <r>
    <s v="James Wilson"/>
    <x v="1"/>
    <x v="4"/>
    <n v="1154.33"/>
    <n v="11"/>
    <n v="0.15"/>
    <d v="2024-09-14T00:00:00"/>
    <n v="441.53"/>
  </r>
  <r>
    <s v="Linda Brown"/>
    <x v="2"/>
    <x v="0"/>
    <n v="1264.49"/>
    <n v="16"/>
    <n v="0.05"/>
    <d v="2024-09-14T00:00:00"/>
    <n v="480.51"/>
  </r>
  <r>
    <s v="Emma Taylor"/>
    <x v="0"/>
    <x v="3"/>
    <n v="1101.55"/>
    <n v="4"/>
    <n v="0.1"/>
    <d v="2024-09-16T00:00:00"/>
    <n v="346.99"/>
  </r>
  <r>
    <s v="Robert Anderson"/>
    <x v="2"/>
    <x v="3"/>
    <n v="727.73"/>
    <n v="1"/>
    <n v="0.1"/>
    <d v="2024-09-17T00:00:00"/>
    <n v="229.23"/>
  </r>
  <r>
    <s v="Emma Davis"/>
    <x v="1"/>
    <x v="4"/>
    <n v="875.41"/>
    <n v="13"/>
    <n v="0.15"/>
    <d v="2024-09-17T00:00:00"/>
    <n v="334.84"/>
  </r>
  <r>
    <s v="James Wilson"/>
    <x v="0"/>
    <x v="2"/>
    <n v="1158.94"/>
    <n v="19"/>
    <n v="0.2"/>
    <d v="2024-09-18T00:00:00"/>
    <n v="231.79"/>
  </r>
  <r>
    <s v="Mary Jackson"/>
    <x v="2"/>
    <x v="0"/>
    <n v="966.3"/>
    <n v="2"/>
    <n v="0.15"/>
    <d v="2024-09-22T00:00:00"/>
    <n v="328.54"/>
  </r>
  <r>
    <s v="James Taylor"/>
    <x v="2"/>
    <x v="0"/>
    <n v="917.48"/>
    <n v="6"/>
    <n v="0"/>
    <d v="2024-09-23T00:00:00"/>
    <n v="366.99"/>
  </r>
  <r>
    <s v="Emma Wilson"/>
    <x v="0"/>
    <x v="3"/>
    <n v="1172.97"/>
    <n v="7"/>
    <n v="0.15"/>
    <d v="2024-09-24T00:00:00"/>
    <n v="348.96"/>
  </r>
  <r>
    <s v="James Wilson"/>
    <x v="3"/>
    <x v="1"/>
    <n v="1205.82"/>
    <n v="11"/>
    <n v="0.1"/>
    <d v="2024-09-24T00:00:00"/>
    <n v="542.62"/>
  </r>
  <r>
    <s v="Sarah Davis"/>
    <x v="0"/>
    <x v="4"/>
    <n v="826.93"/>
    <n v="10"/>
    <n v="0.2"/>
    <d v="2024-09-29T00:00:00"/>
    <n v="297.69"/>
  </r>
  <r>
    <s v="James Wilson"/>
    <x v="4"/>
    <x v="1"/>
    <n v="902.19"/>
    <n v="12"/>
    <n v="0"/>
    <d v="2024-09-29T00:00:00"/>
    <n v="451.1"/>
  </r>
  <r>
    <s v="Emma Davis"/>
    <x v="3"/>
    <x v="0"/>
    <n v="585.97"/>
    <n v="17"/>
    <n v="0.1"/>
    <d v="2024-09-30T00:00:00"/>
    <n v="210.95"/>
  </r>
  <r>
    <s v="Michael Anderson"/>
    <x v="3"/>
    <x v="1"/>
    <n v="990.19"/>
    <n v="8"/>
    <n v="0.1"/>
    <d v="2024-09-30T00:00:00"/>
    <n v="445.59"/>
  </r>
  <r>
    <s v="David Davis"/>
    <x v="4"/>
    <x v="2"/>
    <n v="1014.09"/>
    <n v="13"/>
    <n v="0.2"/>
    <d v="2024-10-02T00:00:00"/>
    <n v="202.82"/>
  </r>
  <r>
    <s v="Lisa Davis"/>
    <x v="3"/>
    <x v="2"/>
    <n v="925.29"/>
    <n v="17"/>
    <n v="0"/>
    <d v="2024-10-05T00:00:00"/>
    <n v="231.32"/>
  </r>
  <r>
    <s v="Mary Jackson"/>
    <x v="1"/>
    <x v="3"/>
    <n v="1286.54"/>
    <n v="8"/>
    <n v="0"/>
    <d v="2024-10-10T00:00:00"/>
    <n v="450.29"/>
  </r>
  <r>
    <s v="Sarah Davis"/>
    <x v="2"/>
    <x v="0"/>
    <n v="961.62"/>
    <n v="8"/>
    <n v="0.2"/>
    <d v="2024-10-12T00:00:00"/>
    <n v="307.72000000000003"/>
  </r>
  <r>
    <s v="James Wilson"/>
    <x v="1"/>
    <x v="0"/>
    <n v="1081.1400000000001"/>
    <n v="19"/>
    <n v="0.15"/>
    <d v="2024-10-12T00:00:00"/>
    <n v="367.59"/>
  </r>
  <r>
    <s v="James Wilson"/>
    <x v="0"/>
    <x v="1"/>
    <n v="1923.66"/>
    <n v="9"/>
    <n v="0.2"/>
    <d v="2024-10-15T00:00:00"/>
    <n v="769.46"/>
  </r>
  <r>
    <s v="Emma Taylor"/>
    <x v="4"/>
    <x v="1"/>
    <n v="728.71"/>
    <n v="14"/>
    <n v="0.1"/>
    <d v="2024-10-16T00:00:00"/>
    <n v="327.92"/>
  </r>
  <r>
    <s v="Linda Jackson"/>
    <x v="4"/>
    <x v="1"/>
    <n v="1301.8900000000001"/>
    <n v="7"/>
    <n v="0.15"/>
    <d v="2024-10-16T00:00:00"/>
    <n v="553.29999999999995"/>
  </r>
  <r>
    <s v="Emma Taylor"/>
    <x v="1"/>
    <x v="0"/>
    <n v="980.18"/>
    <n v="16"/>
    <n v="0.1"/>
    <d v="2024-10-17T00:00:00"/>
    <n v="352.86"/>
  </r>
  <r>
    <s v="James Wilson"/>
    <x v="0"/>
    <x v="1"/>
    <n v="697.57"/>
    <n v="17"/>
    <n v="0.1"/>
    <d v="2024-10-19T00:00:00"/>
    <n v="313.91000000000003"/>
  </r>
  <r>
    <s v="David Anderson"/>
    <x v="0"/>
    <x v="3"/>
    <n v="1193.6099999999999"/>
    <n v="1"/>
    <n v="0.15"/>
    <d v="2024-10-19T00:00:00"/>
    <n v="355.1"/>
  </r>
  <r>
    <s v="Emma Davis"/>
    <x v="2"/>
    <x v="2"/>
    <n v="771.02"/>
    <n v="1"/>
    <n v="0"/>
    <d v="2024-10-20T00:00:00"/>
    <n v="192.76"/>
  </r>
  <r>
    <s v="Linda Moore"/>
    <x v="3"/>
    <x v="1"/>
    <n v="661.09"/>
    <n v="1"/>
    <n v="0.2"/>
    <d v="2024-10-28T00:00:00"/>
    <n v="264.44"/>
  </r>
  <r>
    <s v="David Brown"/>
    <x v="0"/>
    <x v="2"/>
    <n v="688.83"/>
    <n v="15"/>
    <n v="0"/>
    <d v="2024-10-30T00:00:00"/>
    <n v="172.21"/>
  </r>
  <r>
    <s v="Linda Wilson"/>
    <x v="4"/>
    <x v="0"/>
    <n v="1249.0999999999999"/>
    <n v="4"/>
    <n v="0.05"/>
    <d v="2024-11-01T00:00:00"/>
    <n v="474.66"/>
  </r>
  <r>
    <s v="James Wilson"/>
    <x v="1"/>
    <x v="4"/>
    <n v="1014.22"/>
    <n v="14"/>
    <n v="0.05"/>
    <d v="2024-11-03T00:00:00"/>
    <n v="433.58"/>
  </r>
  <r>
    <s v="Lisa Davis"/>
    <x v="1"/>
    <x v="0"/>
    <n v="1010.58"/>
    <n v="2"/>
    <n v="0.15"/>
    <d v="2024-11-09T00:00:00"/>
    <n v="343.6"/>
  </r>
  <r>
    <s v="Mary Wilson"/>
    <x v="3"/>
    <x v="3"/>
    <n v="957.29"/>
    <n v="4"/>
    <n v="0.05"/>
    <d v="2024-11-09T00:00:00"/>
    <n v="318.3"/>
  </r>
  <r>
    <s v="Lisa Thomas"/>
    <x v="3"/>
    <x v="3"/>
    <n v="1077.92"/>
    <n v="3"/>
    <n v="0.05"/>
    <d v="2024-11-12T00:00:00"/>
    <n v="358.41"/>
  </r>
  <r>
    <s v="Linda Brown"/>
    <x v="2"/>
    <x v="1"/>
    <n v="1163.01"/>
    <n v="5"/>
    <n v="0"/>
    <d v="2024-11-15T00:00:00"/>
    <n v="581.5"/>
  </r>
  <r>
    <s v="Lisa Thomas"/>
    <x v="1"/>
    <x v="4"/>
    <n v="1014.56"/>
    <n v="10"/>
    <n v="0.1"/>
    <d v="2024-11-16T00:00:00"/>
    <n v="410.9"/>
  </r>
  <r>
    <s v="James Taylor"/>
    <x v="2"/>
    <x v="2"/>
    <n v="718.04"/>
    <n v="14"/>
    <n v="0"/>
    <d v="2024-11-17T00:00:00"/>
    <n v="179.51"/>
  </r>
  <r>
    <s v="James Taylor"/>
    <x v="4"/>
    <x v="1"/>
    <n v="1277.8499999999999"/>
    <n v="18"/>
    <n v="0.2"/>
    <d v="2024-11-17T00:00:00"/>
    <n v="511.14"/>
  </r>
  <r>
    <s v="James Wilson"/>
    <x v="3"/>
    <x v="2"/>
    <n v="706.73"/>
    <n v="1"/>
    <n v="0.15"/>
    <d v="2024-11-17T00:00:00"/>
    <n v="150.18"/>
  </r>
  <r>
    <s v="Linda Brown"/>
    <x v="1"/>
    <x v="2"/>
    <n v="1410.59"/>
    <n v="15"/>
    <n v="0"/>
    <d v="2024-11-19T00:00:00"/>
    <n v="352.65"/>
  </r>
  <r>
    <s v="Emma Wilson"/>
    <x v="2"/>
    <x v="3"/>
    <n v="1350.33"/>
    <n v="10"/>
    <n v="0"/>
    <d v="2024-11-19T00:00:00"/>
    <n v="472.62"/>
  </r>
  <r>
    <s v="Lisa Thomas"/>
    <x v="1"/>
    <x v="2"/>
    <n v="919.18"/>
    <n v="4"/>
    <n v="0.15"/>
    <d v="2024-11-19T00:00:00"/>
    <n v="195.33"/>
  </r>
  <r>
    <s v="James Wilson"/>
    <x v="0"/>
    <x v="2"/>
    <n v="258.51"/>
    <n v="19"/>
    <n v="0"/>
    <d v="2024-11-20T00:00:00"/>
    <n v="64.63"/>
  </r>
  <r>
    <s v="Emma Wilson"/>
    <x v="1"/>
    <x v="0"/>
    <n v="1213.48"/>
    <n v="5"/>
    <n v="0.05"/>
    <d v="2024-11-20T00:00:00"/>
    <n v="461.12"/>
  </r>
  <r>
    <s v="Emma Davis"/>
    <x v="4"/>
    <x v="0"/>
    <n v="1150.28"/>
    <n v="8"/>
    <n v="0.05"/>
    <d v="2024-11-26T00:00:00"/>
    <n v="437.11"/>
  </r>
  <r>
    <s v="David Anderson"/>
    <x v="2"/>
    <x v="3"/>
    <n v="853.86"/>
    <n v="8"/>
    <n v="0.1"/>
    <d v="2024-11-26T00:00:00"/>
    <n v="268.97000000000003"/>
  </r>
  <r>
    <s v="Lisa Thomas"/>
    <x v="2"/>
    <x v="2"/>
    <n v="1061.04"/>
    <n v="1"/>
    <n v="0"/>
    <d v="2024-11-28T00:00:00"/>
    <n v="265.26"/>
  </r>
  <r>
    <s v="Sarah Anderson"/>
    <x v="0"/>
    <x v="2"/>
    <n v="894.55"/>
    <n v="19"/>
    <n v="0.2"/>
    <d v="2024-11-29T00:00:00"/>
    <n v="178.91"/>
  </r>
  <r>
    <s v="Emma Davis"/>
    <x v="3"/>
    <x v="4"/>
    <n v="833.91"/>
    <n v="3"/>
    <n v="0.05"/>
    <d v="2024-11-30T00:00:00"/>
    <n v="356.5"/>
  </r>
  <r>
    <s v="David Anderson"/>
    <x v="0"/>
    <x v="3"/>
    <n v="820.19"/>
    <n v="4"/>
    <n v="0.2"/>
    <d v="2024-12-04T00:00:00"/>
    <n v="229.65"/>
  </r>
  <r>
    <s v="Emma Davis"/>
    <x v="4"/>
    <x v="2"/>
    <n v="511.74"/>
    <n v="8"/>
    <n v="0.05"/>
    <d v="2024-12-05T00:00:00"/>
    <n v="121.54"/>
  </r>
  <r>
    <s v="Emma Wilson"/>
    <x v="2"/>
    <x v="3"/>
    <n v="806.03"/>
    <n v="19"/>
    <n v="0.05"/>
    <d v="2024-12-12T00:00:00"/>
    <n v="268"/>
  </r>
  <r>
    <s v="Michael Anderson"/>
    <x v="4"/>
    <x v="3"/>
    <n v="1432.47"/>
    <n v="16"/>
    <n v="0.15"/>
    <d v="2024-12-14T00:00:00"/>
    <n v="426.16"/>
  </r>
  <r>
    <s v="Linda Wilson"/>
    <x v="4"/>
    <x v="2"/>
    <n v="1488.58"/>
    <n v="10"/>
    <n v="0.15"/>
    <d v="2024-12-14T00:00:00"/>
    <n v="316.32"/>
  </r>
  <r>
    <s v="Emma Taylor"/>
    <x v="1"/>
    <x v="0"/>
    <n v="1231.26"/>
    <n v="9"/>
    <n v="0"/>
    <d v="2024-12-20T00:00:00"/>
    <n v="492.5"/>
  </r>
  <r>
    <s v="Sarah Anderson"/>
    <x v="0"/>
    <x v="2"/>
    <n v="1161.67"/>
    <n v="19"/>
    <n v="0.2"/>
    <d v="2024-12-21T00:00:00"/>
    <n v="232.33"/>
  </r>
  <r>
    <s v="Lisa Thomas"/>
    <x v="4"/>
    <x v="4"/>
    <n v="388.23"/>
    <n v="16"/>
    <n v="0.05"/>
    <d v="2024-12-24T00:00:00"/>
    <n v="165.97"/>
  </r>
  <r>
    <s v="Mary Davis"/>
    <x v="3"/>
    <x v="1"/>
    <n v="1589.42"/>
    <n v="6"/>
    <n v="0.15"/>
    <d v="2024-12-25T00:00:00"/>
    <n v="675.5"/>
  </r>
  <r>
    <s v="David Anderson"/>
    <x v="3"/>
    <x v="1"/>
    <n v="336.66"/>
    <n v="13"/>
    <n v="0.2"/>
    <d v="2024-12-25T00:00:00"/>
    <n v="134.66"/>
  </r>
  <r>
    <s v="James Wilson"/>
    <x v="0"/>
    <x v="0"/>
    <n v="1353.79"/>
    <n v="14"/>
    <n v="0.1"/>
    <d v="2024-12-30T00:00:00"/>
    <n v="487.36"/>
  </r>
  <r>
    <s v="Linda Moore"/>
    <x v="4"/>
    <x v="1"/>
    <n v="662.61"/>
    <n v="11"/>
    <n v="0.05"/>
    <d v="2025-01-01T00:00:00"/>
    <n v="314.74"/>
  </r>
  <r>
    <s v="Lisa Davis"/>
    <x v="3"/>
    <x v="4"/>
    <n v="309.42"/>
    <n v="1"/>
    <n v="0.2"/>
    <d v="2025-01-01T00:00:00"/>
    <n v="111.39"/>
  </r>
  <r>
    <s v="Linda Wilson"/>
    <x v="3"/>
    <x v="0"/>
    <n v="884.63"/>
    <n v="18"/>
    <n v="0.1"/>
    <d v="2025-01-02T00:00:00"/>
    <n v="318.47000000000003"/>
  </r>
  <r>
    <s v="James Wilson"/>
    <x v="4"/>
    <x v="4"/>
    <n v="745.05"/>
    <n v="10"/>
    <n v="0.1"/>
    <d v="2025-01-03T00:00:00"/>
    <n v="301.75"/>
  </r>
  <r>
    <s v="James Taylor"/>
    <x v="2"/>
    <x v="1"/>
    <n v="870.23"/>
    <n v="5"/>
    <n v="0.05"/>
    <d v="2025-01-03T00:00:00"/>
    <n v="413.36"/>
  </r>
  <r>
    <s v="Linda Wilson"/>
    <x v="0"/>
    <x v="3"/>
    <n v="862.19"/>
    <n v="18"/>
    <n v="0.05"/>
    <d v="2025-01-06T00:00:00"/>
    <n v="286.68"/>
  </r>
  <r>
    <s v="Mary Wilson"/>
    <x v="3"/>
    <x v="1"/>
    <n v="1171.18"/>
    <n v="19"/>
    <n v="0.05"/>
    <d v="2025-01-10T00:00:00"/>
    <n v="556.30999999999995"/>
  </r>
  <r>
    <s v="Robert Anderson"/>
    <x v="2"/>
    <x v="3"/>
    <n v="1054.56"/>
    <n v="11"/>
    <n v="0.1"/>
    <d v="2025-01-12T00:00:00"/>
    <n v="332.19"/>
  </r>
  <r>
    <s v="James Wilson"/>
    <x v="3"/>
    <x v="2"/>
    <n v="1681.21"/>
    <n v="5"/>
    <n v="0.2"/>
    <d v="2025-01-13T00:00:00"/>
    <n v="336.24"/>
  </r>
  <r>
    <s v="David Thomas"/>
    <x v="0"/>
    <x v="1"/>
    <n v="379.77"/>
    <n v="9"/>
    <n v="0.05"/>
    <d v="2025-01-16T00:00:00"/>
    <n v="180.39"/>
  </r>
  <r>
    <s v="Lisa Thomas"/>
    <x v="4"/>
    <x v="1"/>
    <n v="1076.33"/>
    <n v="2"/>
    <n v="0.1"/>
    <d v="2025-01-17T00:00:00"/>
    <n v="484.35"/>
  </r>
  <r>
    <s v="Mary Davis"/>
    <x v="4"/>
    <x v="4"/>
    <n v="1250.71"/>
    <n v="7"/>
    <n v="0"/>
    <d v="2025-01-17T00:00:00"/>
    <n v="562.82000000000005"/>
  </r>
  <r>
    <s v="James Taylor"/>
    <x v="2"/>
    <x v="1"/>
    <n v="1118.3399999999999"/>
    <n v="6"/>
    <n v="0.2"/>
    <d v="2025-01-17T00:00:00"/>
    <n v="447.34"/>
  </r>
  <r>
    <s v="Linda Taylor"/>
    <x v="3"/>
    <x v="1"/>
    <n v="1622.62"/>
    <n v="12"/>
    <n v="0.2"/>
    <d v="2025-01-20T00:00:00"/>
    <n v="649.04999999999995"/>
  </r>
  <r>
    <s v="Lisa Davis"/>
    <x v="3"/>
    <x v="0"/>
    <n v="640.64"/>
    <n v="11"/>
    <n v="0.2"/>
    <d v="2025-01-21T00:00:00"/>
    <n v="205"/>
  </r>
  <r>
    <s v="Sarah Anderson"/>
    <x v="0"/>
    <x v="1"/>
    <n v="585.16"/>
    <n v="17"/>
    <n v="0.1"/>
    <d v="2025-01-27T00:00:00"/>
    <n v="263.32"/>
  </r>
  <r>
    <s v="Mary Davis"/>
    <x v="1"/>
    <x v="1"/>
    <n v="1109.98"/>
    <n v="5"/>
    <n v="0.2"/>
    <d v="2025-02-02T00:00:00"/>
    <n v="443.99"/>
  </r>
  <r>
    <s v="Lisa Thomas"/>
    <x v="1"/>
    <x v="0"/>
    <n v="1098.08"/>
    <n v="9"/>
    <n v="0.1"/>
    <d v="2025-02-04T00:00:00"/>
    <n v="395.31"/>
  </r>
  <r>
    <s v="Lisa Davis"/>
    <x v="0"/>
    <x v="4"/>
    <n v="827.25"/>
    <n v="7"/>
    <n v="0.1"/>
    <d v="2025-02-05T00:00:00"/>
    <n v="335.04"/>
  </r>
  <r>
    <s v="Linda Wilson"/>
    <x v="4"/>
    <x v="1"/>
    <n v="741.88"/>
    <n v="16"/>
    <n v="0.1"/>
    <d v="2025-02-07T00:00:00"/>
    <n v="333.85"/>
  </r>
  <r>
    <s v="James Davis"/>
    <x v="1"/>
    <x v="4"/>
    <n v="1311.26"/>
    <n v="6"/>
    <n v="0.1"/>
    <d v="2025-02-10T00:00:00"/>
    <n v="531.05999999999995"/>
  </r>
  <r>
    <s v="Mary Davis"/>
    <x v="2"/>
    <x v="4"/>
    <n v="573.32000000000005"/>
    <n v="19"/>
    <n v="0.1"/>
    <d v="2025-02-15T00:00:00"/>
    <n v="232.19"/>
  </r>
  <r>
    <s v="James Wilson"/>
    <x v="0"/>
    <x v="2"/>
    <n v="1115.22"/>
    <n v="14"/>
    <n v="0.2"/>
    <d v="2025-02-17T00:00:00"/>
    <n v="223.04"/>
  </r>
  <r>
    <s v="Lisa Thomas"/>
    <x v="3"/>
    <x v="1"/>
    <n v="845.84"/>
    <n v="4"/>
    <n v="0"/>
    <d v="2025-02-19T00:00:00"/>
    <n v="422.92"/>
  </r>
  <r>
    <s v="David Brown"/>
    <x v="0"/>
    <x v="2"/>
    <n v="1029.8"/>
    <n v="3"/>
    <n v="0"/>
    <d v="2025-02-20T00:00:00"/>
    <n v="257.45"/>
  </r>
  <r>
    <s v="Mary Davis"/>
    <x v="3"/>
    <x v="0"/>
    <n v="1189.83"/>
    <n v="2"/>
    <n v="0.2"/>
    <d v="2025-02-21T00:00:00"/>
    <n v="380.75"/>
  </r>
  <r>
    <s v="Sarah Anderson"/>
    <x v="2"/>
    <x v="0"/>
    <n v="704.28"/>
    <n v="15"/>
    <n v="0.2"/>
    <d v="2025-02-24T00:00:00"/>
    <n v="225.37"/>
  </r>
  <r>
    <s v="Mary Jackson"/>
    <x v="4"/>
    <x v="4"/>
    <n v="1618.22"/>
    <n v="12"/>
    <n v="0.2"/>
    <d v="2025-02-24T00:00:00"/>
    <n v="582.55999999999995"/>
  </r>
  <r>
    <s v="Linda Taylor"/>
    <x v="4"/>
    <x v="0"/>
    <n v="1014.43"/>
    <n v="2"/>
    <n v="0.15"/>
    <d v="2025-02-25T00:00:00"/>
    <n v="344.91"/>
  </r>
  <r>
    <s v="Mary Davis"/>
    <x v="4"/>
    <x v="1"/>
    <n v="826.97"/>
    <n v="18"/>
    <n v="0.2"/>
    <d v="2025-02-27T00:00:00"/>
    <n v="330.79"/>
  </r>
  <r>
    <s v="Mary Davis"/>
    <x v="4"/>
    <x v="1"/>
    <n v="1022.23"/>
    <n v="8"/>
    <n v="0.1"/>
    <d v="2025-03-01T00:00:00"/>
    <n v="460"/>
  </r>
  <r>
    <s v="Linda Wilson"/>
    <x v="1"/>
    <x v="0"/>
    <n v="1099.69"/>
    <n v="6"/>
    <n v="0"/>
    <d v="2025-03-02T00:00:00"/>
    <n v="439.88"/>
  </r>
  <r>
    <s v="Sarah Davis"/>
    <x v="3"/>
    <x v="0"/>
    <n v="710.52"/>
    <n v="8"/>
    <n v="0.1"/>
    <d v="2025-03-05T00:00:00"/>
    <n v="255.79"/>
  </r>
  <r>
    <s v="Mary Wilson"/>
    <x v="3"/>
    <x v="0"/>
    <n v="499.18"/>
    <n v="15"/>
    <n v="0.2"/>
    <d v="2025-03-08T00:00:00"/>
    <n v="159.74"/>
  </r>
  <r>
    <s v="Emma Davis"/>
    <x v="2"/>
    <x v="0"/>
    <n v="1064.19"/>
    <n v="18"/>
    <n v="0.05"/>
    <d v="2025-03-09T00:00:00"/>
    <n v="404.39"/>
  </r>
  <r>
    <s v="Emma Davis"/>
    <x v="1"/>
    <x v="4"/>
    <n v="438.76"/>
    <n v="18"/>
    <n v="0.05"/>
    <d v="2025-03-10T00:00:00"/>
    <n v="187.57"/>
  </r>
  <r>
    <s v="David Brown"/>
    <x v="0"/>
    <x v="1"/>
    <n v="864.98"/>
    <n v="2"/>
    <n v="0.05"/>
    <d v="2025-03-11T00:00:00"/>
    <n v="410.87"/>
  </r>
  <r>
    <s v="David Brown"/>
    <x v="0"/>
    <x v="3"/>
    <n v="984.93"/>
    <n v="14"/>
    <n v="0.2"/>
    <d v="2025-03-17T00:00:00"/>
    <n v="275.77999999999997"/>
  </r>
  <r>
    <s v="David Brown"/>
    <x v="0"/>
    <x v="1"/>
    <n v="1493.49"/>
    <n v="18"/>
    <n v="0"/>
    <d v="2025-03-18T00:00:00"/>
    <n v="746.74"/>
  </r>
  <r>
    <s v="Linda Taylor"/>
    <x v="2"/>
    <x v="1"/>
    <n v="689.43"/>
    <n v="9"/>
    <n v="0.1"/>
    <d v="2025-03-20T00:00:00"/>
    <n v="310.24"/>
  </r>
  <r>
    <s v="Mary Wilson"/>
    <x v="2"/>
    <x v="1"/>
    <n v="682.24"/>
    <n v="1"/>
    <n v="0"/>
    <d v="2025-03-22T00:00:00"/>
    <n v="341.12"/>
  </r>
  <r>
    <s v="Michael Anderson"/>
    <x v="3"/>
    <x v="2"/>
    <n v="458.54"/>
    <n v="15"/>
    <n v="0.2"/>
    <d v="2025-03-25T00:00:00"/>
    <n v="91.71"/>
  </r>
  <r>
    <s v="Michael Anderson"/>
    <x v="2"/>
    <x v="3"/>
    <n v="1184.25"/>
    <n v="11"/>
    <n v="0.2"/>
    <d v="2025-03-26T00:00:00"/>
    <n v="331.59"/>
  </r>
  <r>
    <s v="James Davis"/>
    <x v="2"/>
    <x v="1"/>
    <n v="762.14"/>
    <n v="9"/>
    <n v="0"/>
    <d v="2025-03-27T00:00:00"/>
    <n v="381.07"/>
  </r>
  <r>
    <s v="Linda Taylor"/>
    <x v="3"/>
    <x v="0"/>
    <n v="750.71"/>
    <n v="10"/>
    <n v="0.15"/>
    <d v="2025-03-27T00:00:00"/>
    <n v="255.24"/>
  </r>
  <r>
    <s v="David Anderson"/>
    <x v="4"/>
    <x v="1"/>
    <n v="1456.94"/>
    <n v="14"/>
    <n v="0.05"/>
    <d v="2025-03-29T00:00:00"/>
    <n v="692.05"/>
  </r>
  <r>
    <s v="Emma Wilson"/>
    <x v="1"/>
    <x v="3"/>
    <n v="1093.3800000000001"/>
    <n v="17"/>
    <n v="0.1"/>
    <d v="2025-03-29T00:00:00"/>
    <n v="344.41"/>
  </r>
  <r>
    <s v="Sarah Anderson"/>
    <x v="0"/>
    <x v="1"/>
    <n v="934.27"/>
    <n v="8"/>
    <n v="0.15"/>
    <d v="2025-03-30T00:00:00"/>
    <n v="397.06"/>
  </r>
  <r>
    <s v="David Thomas"/>
    <x v="4"/>
    <x v="1"/>
    <n v="1465.35"/>
    <n v="8"/>
    <n v="0.2"/>
    <d v="2025-03-30T00:00:00"/>
    <n v="586.14"/>
  </r>
  <r>
    <s v="Robert Anderson"/>
    <x v="2"/>
    <x v="4"/>
    <n v="740.8"/>
    <n v="3"/>
    <n v="0"/>
    <d v="2025-04-02T00:00:00"/>
    <n v="333.36"/>
  </r>
  <r>
    <s v="Sarah Anderson"/>
    <x v="0"/>
    <x v="4"/>
    <n v="545.44000000000005"/>
    <n v="17"/>
    <n v="0"/>
    <d v="2025-04-05T00:00:00"/>
    <n v="245.45"/>
  </r>
  <r>
    <s v="David Thomas"/>
    <x v="1"/>
    <x v="0"/>
    <n v="997.61"/>
    <n v="8"/>
    <n v="0.05"/>
    <d v="2025-04-05T00:00:00"/>
    <n v="379.09"/>
  </r>
  <r>
    <s v="David Thomas"/>
    <x v="2"/>
    <x v="1"/>
    <n v="928.32"/>
    <n v="2"/>
    <n v="0.05"/>
    <d v="2025-04-07T00:00:00"/>
    <n v="440.95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0">
  <r>
    <x v="0"/>
    <x v="0"/>
    <x v="0"/>
    <n v="1036.0899999999999"/>
    <n v="4"/>
    <n v="0.2"/>
    <d v="2024-04-10T00:00:00"/>
    <n v="331.55"/>
  </r>
  <r>
    <x v="1"/>
    <x v="0"/>
    <x v="1"/>
    <n v="1101.28"/>
    <n v="3"/>
    <n v="0.2"/>
    <d v="2024-04-11T00:00:00"/>
    <n v="440.51"/>
  </r>
  <r>
    <x v="2"/>
    <x v="1"/>
    <x v="0"/>
    <n v="713.34"/>
    <n v="17"/>
    <n v="0"/>
    <d v="2024-04-14T00:00:00"/>
    <n v="285.33999999999997"/>
  </r>
  <r>
    <x v="1"/>
    <x v="2"/>
    <x v="2"/>
    <n v="760.93"/>
    <n v="4"/>
    <n v="0.15"/>
    <d v="2024-04-14T00:00:00"/>
    <n v="161.69999999999999"/>
  </r>
  <r>
    <x v="3"/>
    <x v="3"/>
    <x v="0"/>
    <n v="847"/>
    <n v="12"/>
    <n v="0.2"/>
    <d v="2024-04-15T00:00:00"/>
    <n v="271.04000000000002"/>
  </r>
  <r>
    <x v="4"/>
    <x v="3"/>
    <x v="3"/>
    <n v="965.64"/>
    <n v="8"/>
    <n v="0.1"/>
    <d v="2024-04-16T00:00:00"/>
    <n v="304.18"/>
  </r>
  <r>
    <x v="5"/>
    <x v="0"/>
    <x v="2"/>
    <n v="1317.53"/>
    <n v="12"/>
    <n v="0.05"/>
    <d v="2024-04-16T00:00:00"/>
    <n v="312.91000000000003"/>
  </r>
  <r>
    <x v="6"/>
    <x v="1"/>
    <x v="3"/>
    <n v="1074.47"/>
    <n v="6"/>
    <n v="0.2"/>
    <d v="2024-04-19T00:00:00"/>
    <n v="300.85000000000002"/>
  </r>
  <r>
    <x v="7"/>
    <x v="4"/>
    <x v="0"/>
    <n v="501.54"/>
    <n v="11"/>
    <n v="0.05"/>
    <d v="2024-04-19T00:00:00"/>
    <n v="190.59"/>
  </r>
  <r>
    <x v="8"/>
    <x v="4"/>
    <x v="1"/>
    <n v="737.31"/>
    <n v="2"/>
    <n v="0.05"/>
    <d v="2024-04-19T00:00:00"/>
    <n v="350.22"/>
  </r>
  <r>
    <x v="9"/>
    <x v="0"/>
    <x v="4"/>
    <n v="1572.82"/>
    <n v="6"/>
    <n v="0.05"/>
    <d v="2024-04-20T00:00:00"/>
    <n v="672.38"/>
  </r>
  <r>
    <x v="8"/>
    <x v="4"/>
    <x v="0"/>
    <n v="1343.13"/>
    <n v="14"/>
    <n v="0.15"/>
    <d v="2024-04-22T00:00:00"/>
    <n v="456.66"/>
  </r>
  <r>
    <x v="4"/>
    <x v="4"/>
    <x v="0"/>
    <n v="1191.58"/>
    <n v="14"/>
    <n v="0.05"/>
    <d v="2024-04-24T00:00:00"/>
    <n v="452.8"/>
  </r>
  <r>
    <x v="1"/>
    <x v="0"/>
    <x v="3"/>
    <n v="822.28"/>
    <n v="7"/>
    <n v="0.05"/>
    <d v="2024-04-24T00:00:00"/>
    <n v="273.41000000000003"/>
  </r>
  <r>
    <x v="10"/>
    <x v="3"/>
    <x v="3"/>
    <n v="521.66999999999996"/>
    <n v="15"/>
    <n v="0.15"/>
    <d v="2024-04-27T00:00:00"/>
    <n v="155.19999999999999"/>
  </r>
  <r>
    <x v="11"/>
    <x v="2"/>
    <x v="2"/>
    <n v="1502.93"/>
    <n v="14"/>
    <n v="0.2"/>
    <d v="2024-04-28T00:00:00"/>
    <n v="300.58999999999997"/>
  </r>
  <r>
    <x v="1"/>
    <x v="2"/>
    <x v="0"/>
    <n v="877.58"/>
    <n v="10"/>
    <n v="0.15"/>
    <d v="2024-04-29T00:00:00"/>
    <n v="298.38"/>
  </r>
  <r>
    <x v="12"/>
    <x v="0"/>
    <x v="0"/>
    <n v="636.70000000000005"/>
    <n v="4"/>
    <n v="0.2"/>
    <d v="2024-04-29T00:00:00"/>
    <n v="203.74"/>
  </r>
  <r>
    <x v="13"/>
    <x v="0"/>
    <x v="0"/>
    <n v="1506.14"/>
    <n v="13"/>
    <n v="0.2"/>
    <d v="2024-04-30T00:00:00"/>
    <n v="481.96"/>
  </r>
  <r>
    <x v="6"/>
    <x v="4"/>
    <x v="2"/>
    <n v="645.02"/>
    <n v="4"/>
    <n v="0"/>
    <d v="2024-05-02T00:00:00"/>
    <n v="161.26"/>
  </r>
  <r>
    <x v="14"/>
    <x v="2"/>
    <x v="1"/>
    <n v="953.3"/>
    <n v="11"/>
    <n v="0"/>
    <d v="2024-05-03T00:00:00"/>
    <n v="476.65"/>
  </r>
  <r>
    <x v="1"/>
    <x v="3"/>
    <x v="2"/>
    <n v="388.56"/>
    <n v="14"/>
    <n v="0.15"/>
    <d v="2024-05-04T00:00:00"/>
    <n v="82.57"/>
  </r>
  <r>
    <x v="6"/>
    <x v="0"/>
    <x v="0"/>
    <n v="743.17"/>
    <n v="9"/>
    <n v="0"/>
    <d v="2024-05-04T00:00:00"/>
    <n v="297.27"/>
  </r>
  <r>
    <x v="6"/>
    <x v="4"/>
    <x v="2"/>
    <n v="706.37"/>
    <n v="6"/>
    <n v="0"/>
    <d v="2024-05-04T00:00:00"/>
    <n v="176.59"/>
  </r>
  <r>
    <x v="6"/>
    <x v="4"/>
    <x v="4"/>
    <n v="925.31"/>
    <n v="8"/>
    <n v="0.1"/>
    <d v="2024-05-06T00:00:00"/>
    <n v="374.75"/>
  </r>
  <r>
    <x v="15"/>
    <x v="2"/>
    <x v="2"/>
    <n v="1173.1199999999999"/>
    <n v="18"/>
    <n v="0"/>
    <d v="2024-05-06T00:00:00"/>
    <n v="293.27999999999997"/>
  </r>
  <r>
    <x v="16"/>
    <x v="3"/>
    <x v="3"/>
    <n v="675.54"/>
    <n v="17"/>
    <n v="0"/>
    <d v="2024-05-08T00:00:00"/>
    <n v="236.44"/>
  </r>
  <r>
    <x v="1"/>
    <x v="4"/>
    <x v="0"/>
    <n v="939.09"/>
    <n v="2"/>
    <n v="0.05"/>
    <d v="2024-05-10T00:00:00"/>
    <n v="356.85"/>
  </r>
  <r>
    <x v="17"/>
    <x v="1"/>
    <x v="4"/>
    <n v="983.34"/>
    <n v="19"/>
    <n v="0.1"/>
    <d v="2024-05-14T00:00:00"/>
    <n v="398.25"/>
  </r>
  <r>
    <x v="3"/>
    <x v="2"/>
    <x v="2"/>
    <n v="801.21"/>
    <n v="3"/>
    <n v="0.2"/>
    <d v="2024-05-14T00:00:00"/>
    <n v="160.24"/>
  </r>
  <r>
    <x v="18"/>
    <x v="3"/>
    <x v="2"/>
    <n v="1450.71"/>
    <n v="5"/>
    <n v="0.1"/>
    <d v="2024-05-15T00:00:00"/>
    <n v="326.41000000000003"/>
  </r>
  <r>
    <x v="19"/>
    <x v="4"/>
    <x v="0"/>
    <n v="1023.21"/>
    <n v="18"/>
    <n v="0.05"/>
    <d v="2024-05-16T00:00:00"/>
    <n v="388.82"/>
  </r>
  <r>
    <x v="13"/>
    <x v="0"/>
    <x v="3"/>
    <n v="853.72"/>
    <n v="5"/>
    <n v="0.15"/>
    <d v="2024-05-16T00:00:00"/>
    <n v="253.98"/>
  </r>
  <r>
    <x v="11"/>
    <x v="2"/>
    <x v="2"/>
    <n v="967.89"/>
    <n v="10"/>
    <n v="0.1"/>
    <d v="2024-05-17T00:00:00"/>
    <n v="217.78"/>
  </r>
  <r>
    <x v="17"/>
    <x v="3"/>
    <x v="4"/>
    <n v="1200.9000000000001"/>
    <n v="14"/>
    <n v="0.05"/>
    <d v="2024-05-17T00:00:00"/>
    <n v="513.38"/>
  </r>
  <r>
    <x v="4"/>
    <x v="0"/>
    <x v="0"/>
    <n v="472.38"/>
    <n v="12"/>
    <n v="0.2"/>
    <d v="2024-05-17T00:00:00"/>
    <n v="151.16"/>
  </r>
  <r>
    <x v="18"/>
    <x v="1"/>
    <x v="4"/>
    <n v="840.92"/>
    <n v="9"/>
    <n v="0.05"/>
    <d v="2024-05-17T00:00:00"/>
    <n v="359.49"/>
  </r>
  <r>
    <x v="14"/>
    <x v="4"/>
    <x v="3"/>
    <n v="1410.06"/>
    <n v="11"/>
    <n v="0.05"/>
    <d v="2024-05-22T00:00:00"/>
    <n v="468.84"/>
  </r>
  <r>
    <x v="20"/>
    <x v="4"/>
    <x v="3"/>
    <n v="773.09"/>
    <n v="13"/>
    <n v="0.15"/>
    <d v="2024-05-22T00:00:00"/>
    <n v="229.99"/>
  </r>
  <r>
    <x v="21"/>
    <x v="1"/>
    <x v="0"/>
    <n v="580.42999999999995"/>
    <n v="19"/>
    <n v="0.15"/>
    <d v="2024-05-23T00:00:00"/>
    <n v="197.35"/>
  </r>
  <r>
    <x v="10"/>
    <x v="2"/>
    <x v="0"/>
    <n v="1151.21"/>
    <n v="15"/>
    <n v="0.1"/>
    <d v="2024-06-02T00:00:00"/>
    <n v="414.44"/>
  </r>
  <r>
    <x v="3"/>
    <x v="4"/>
    <x v="4"/>
    <n v="1025.98"/>
    <n v="5"/>
    <n v="0.2"/>
    <d v="2024-06-04T00:00:00"/>
    <n v="369.35"/>
  </r>
  <r>
    <x v="19"/>
    <x v="1"/>
    <x v="4"/>
    <n v="556.41999999999996"/>
    <n v="11"/>
    <n v="0.15"/>
    <d v="2024-06-04T00:00:00"/>
    <n v="212.83"/>
  </r>
  <r>
    <x v="3"/>
    <x v="4"/>
    <x v="0"/>
    <n v="840.85"/>
    <n v="19"/>
    <n v="0.1"/>
    <d v="2024-06-05T00:00:00"/>
    <n v="302.70999999999998"/>
  </r>
  <r>
    <x v="21"/>
    <x v="3"/>
    <x v="3"/>
    <n v="1227.25"/>
    <n v="12"/>
    <n v="0.15"/>
    <d v="2024-06-05T00:00:00"/>
    <n v="365.11"/>
  </r>
  <r>
    <x v="22"/>
    <x v="4"/>
    <x v="2"/>
    <n v="856.7"/>
    <n v="2"/>
    <n v="0"/>
    <d v="2024-06-06T00:00:00"/>
    <n v="214.18"/>
  </r>
  <r>
    <x v="19"/>
    <x v="4"/>
    <x v="4"/>
    <n v="1225.42"/>
    <n v="8"/>
    <n v="0.15"/>
    <d v="2024-06-06T00:00:00"/>
    <n v="468.72"/>
  </r>
  <r>
    <x v="6"/>
    <x v="3"/>
    <x v="4"/>
    <n v="1001.57"/>
    <n v="12"/>
    <n v="0"/>
    <d v="2024-06-07T00:00:00"/>
    <n v="450.71"/>
  </r>
  <r>
    <x v="4"/>
    <x v="1"/>
    <x v="3"/>
    <n v="1186.8499999999999"/>
    <n v="19"/>
    <n v="0.2"/>
    <d v="2024-06-08T00:00:00"/>
    <n v="332.32"/>
  </r>
  <r>
    <x v="16"/>
    <x v="2"/>
    <x v="2"/>
    <n v="775.45"/>
    <n v="6"/>
    <n v="0.1"/>
    <d v="2024-06-14T00:00:00"/>
    <n v="174.48"/>
  </r>
  <r>
    <x v="7"/>
    <x v="2"/>
    <x v="2"/>
    <n v="1021.47"/>
    <n v="6"/>
    <n v="0.05"/>
    <d v="2024-06-18T00:00:00"/>
    <n v="242.6"/>
  </r>
  <r>
    <x v="3"/>
    <x v="2"/>
    <x v="1"/>
    <n v="1226.6199999999999"/>
    <n v="7"/>
    <n v="0.1"/>
    <d v="2024-06-20T00:00:00"/>
    <n v="551.98"/>
  </r>
  <r>
    <x v="23"/>
    <x v="2"/>
    <x v="3"/>
    <n v="1086.93"/>
    <n v="2"/>
    <n v="0"/>
    <d v="2024-06-21T00:00:00"/>
    <n v="380.43"/>
  </r>
  <r>
    <x v="14"/>
    <x v="0"/>
    <x v="0"/>
    <n v="942.9"/>
    <n v="18"/>
    <n v="0.1"/>
    <d v="2024-06-23T00:00:00"/>
    <n v="339.44"/>
  </r>
  <r>
    <x v="9"/>
    <x v="3"/>
    <x v="2"/>
    <n v="818.8"/>
    <n v="15"/>
    <n v="0.15"/>
    <d v="2024-06-25T00:00:00"/>
    <n v="173.99"/>
  </r>
  <r>
    <x v="1"/>
    <x v="2"/>
    <x v="3"/>
    <n v="919.04"/>
    <n v="10"/>
    <n v="0.2"/>
    <d v="2024-06-25T00:00:00"/>
    <n v="257.33"/>
  </r>
  <r>
    <x v="24"/>
    <x v="4"/>
    <x v="0"/>
    <n v="973.26"/>
    <n v="11"/>
    <n v="0"/>
    <d v="2024-06-27T00:00:00"/>
    <n v="389.3"/>
  </r>
  <r>
    <x v="23"/>
    <x v="3"/>
    <x v="2"/>
    <n v="741.61"/>
    <n v="1"/>
    <n v="0.2"/>
    <d v="2024-06-28T00:00:00"/>
    <n v="148.32"/>
  </r>
  <r>
    <x v="9"/>
    <x v="3"/>
    <x v="0"/>
    <n v="1248.82"/>
    <n v="2"/>
    <n v="0.1"/>
    <d v="2024-06-30T00:00:00"/>
    <n v="449.58"/>
  </r>
  <r>
    <x v="20"/>
    <x v="0"/>
    <x v="1"/>
    <n v="1360.36"/>
    <n v="17"/>
    <n v="0"/>
    <d v="2024-06-30T00:00:00"/>
    <n v="680.18"/>
  </r>
  <r>
    <x v="6"/>
    <x v="1"/>
    <x v="0"/>
    <n v="1383.3"/>
    <n v="8"/>
    <n v="0.1"/>
    <d v="2024-07-05T00:00:00"/>
    <n v="497.99"/>
  </r>
  <r>
    <x v="18"/>
    <x v="4"/>
    <x v="4"/>
    <n v="488.99"/>
    <n v="9"/>
    <n v="0"/>
    <d v="2024-07-06T00:00:00"/>
    <n v="220.05"/>
  </r>
  <r>
    <x v="6"/>
    <x v="1"/>
    <x v="3"/>
    <n v="933.71"/>
    <n v="17"/>
    <n v="0.1"/>
    <d v="2024-07-08T00:00:00"/>
    <n v="294.12"/>
  </r>
  <r>
    <x v="0"/>
    <x v="0"/>
    <x v="2"/>
    <n v="1005.53"/>
    <n v="17"/>
    <n v="0.2"/>
    <d v="2024-07-08T00:00:00"/>
    <n v="201.11"/>
  </r>
  <r>
    <x v="21"/>
    <x v="2"/>
    <x v="2"/>
    <n v="1100.0999999999999"/>
    <n v="5"/>
    <n v="0.05"/>
    <d v="2024-07-09T00:00:00"/>
    <n v="261.27"/>
  </r>
  <r>
    <x v="3"/>
    <x v="3"/>
    <x v="3"/>
    <n v="1034.7"/>
    <n v="15"/>
    <n v="0.15"/>
    <d v="2024-07-14T00:00:00"/>
    <n v="307.82"/>
  </r>
  <r>
    <x v="6"/>
    <x v="2"/>
    <x v="0"/>
    <n v="876.44"/>
    <n v="12"/>
    <n v="0.05"/>
    <d v="2024-07-15T00:00:00"/>
    <n v="333.05"/>
  </r>
  <r>
    <x v="18"/>
    <x v="0"/>
    <x v="3"/>
    <n v="1371.34"/>
    <n v="5"/>
    <n v="0.05"/>
    <d v="2024-07-15T00:00:00"/>
    <n v="455.97"/>
  </r>
  <r>
    <x v="13"/>
    <x v="3"/>
    <x v="2"/>
    <n v="1020.26"/>
    <n v="11"/>
    <n v="0.05"/>
    <d v="2024-07-21T00:00:00"/>
    <n v="242.31"/>
  </r>
  <r>
    <x v="0"/>
    <x v="4"/>
    <x v="4"/>
    <n v="804.81"/>
    <n v="1"/>
    <n v="0.05"/>
    <d v="2024-07-29T00:00:00"/>
    <n v="344.06"/>
  </r>
  <r>
    <x v="18"/>
    <x v="4"/>
    <x v="2"/>
    <n v="608.66"/>
    <n v="1"/>
    <n v="0.05"/>
    <d v="2024-07-30T00:00:00"/>
    <n v="144.56"/>
  </r>
  <r>
    <x v="25"/>
    <x v="2"/>
    <x v="4"/>
    <n v="981.2"/>
    <n v="19"/>
    <n v="0"/>
    <d v="2024-07-31T00:00:00"/>
    <n v="441.54"/>
  </r>
  <r>
    <x v="18"/>
    <x v="1"/>
    <x v="2"/>
    <n v="539.77"/>
    <n v="10"/>
    <n v="0.15"/>
    <d v="2024-08-05T00:00:00"/>
    <n v="114.7"/>
  </r>
  <r>
    <x v="26"/>
    <x v="2"/>
    <x v="0"/>
    <n v="804.45"/>
    <n v="5"/>
    <n v="0.2"/>
    <d v="2024-08-05T00:00:00"/>
    <n v="257.42"/>
  </r>
  <r>
    <x v="9"/>
    <x v="0"/>
    <x v="2"/>
    <n v="1526.6"/>
    <n v="13"/>
    <n v="0.2"/>
    <d v="2024-08-08T00:00:00"/>
    <n v="305.32"/>
  </r>
  <r>
    <x v="5"/>
    <x v="0"/>
    <x v="2"/>
    <n v="1215.26"/>
    <n v="5"/>
    <n v="0.15"/>
    <d v="2024-08-09T00:00:00"/>
    <n v="258.24"/>
  </r>
  <r>
    <x v="17"/>
    <x v="4"/>
    <x v="3"/>
    <n v="1261.3399999999999"/>
    <n v="3"/>
    <n v="0"/>
    <d v="2024-08-15T00:00:00"/>
    <n v="441.47"/>
  </r>
  <r>
    <x v="12"/>
    <x v="3"/>
    <x v="3"/>
    <n v="518.07000000000005"/>
    <n v="7"/>
    <n v="0.05"/>
    <d v="2024-08-18T00:00:00"/>
    <n v="172.26"/>
  </r>
  <r>
    <x v="5"/>
    <x v="0"/>
    <x v="4"/>
    <n v="1111.3399999999999"/>
    <n v="1"/>
    <n v="0"/>
    <d v="2024-08-19T00:00:00"/>
    <n v="500.1"/>
  </r>
  <r>
    <x v="6"/>
    <x v="1"/>
    <x v="1"/>
    <n v="1291.47"/>
    <n v="18"/>
    <n v="0.1"/>
    <d v="2024-08-22T00:00:00"/>
    <n v="581.16"/>
  </r>
  <r>
    <x v="18"/>
    <x v="3"/>
    <x v="0"/>
    <n v="679.71"/>
    <n v="19"/>
    <n v="0"/>
    <d v="2024-08-30T00:00:00"/>
    <n v="271.88"/>
  </r>
  <r>
    <x v="7"/>
    <x v="1"/>
    <x v="3"/>
    <n v="1143.69"/>
    <n v="17"/>
    <n v="0"/>
    <d v="2024-08-30T00:00:00"/>
    <n v="400.29"/>
  </r>
  <r>
    <x v="15"/>
    <x v="4"/>
    <x v="2"/>
    <n v="790.08"/>
    <n v="7"/>
    <n v="0.1"/>
    <d v="2024-09-01T00:00:00"/>
    <n v="177.77"/>
  </r>
  <r>
    <x v="14"/>
    <x v="4"/>
    <x v="0"/>
    <n v="1070.68"/>
    <n v="7"/>
    <n v="0.05"/>
    <d v="2024-09-01T00:00:00"/>
    <n v="406.86"/>
  </r>
  <r>
    <x v="8"/>
    <x v="0"/>
    <x v="1"/>
    <n v="1168.8900000000001"/>
    <n v="4"/>
    <n v="0.1"/>
    <d v="2024-09-09T00:00:00"/>
    <n v="526"/>
  </r>
  <r>
    <x v="0"/>
    <x v="2"/>
    <x v="2"/>
    <n v="1335.87"/>
    <n v="17"/>
    <n v="0"/>
    <d v="2024-09-09T00:00:00"/>
    <n v="333.97"/>
  </r>
  <r>
    <x v="18"/>
    <x v="1"/>
    <x v="3"/>
    <n v="873.7"/>
    <n v="9"/>
    <n v="0"/>
    <d v="2024-09-11T00:00:00"/>
    <n v="305.8"/>
  </r>
  <r>
    <x v="23"/>
    <x v="0"/>
    <x v="4"/>
    <n v="1443.98"/>
    <n v="19"/>
    <n v="0"/>
    <d v="2024-09-12T00:00:00"/>
    <n v="649.79"/>
  </r>
  <r>
    <x v="3"/>
    <x v="1"/>
    <x v="4"/>
    <n v="1154.33"/>
    <n v="11"/>
    <n v="0.15"/>
    <d v="2024-09-14T00:00:00"/>
    <n v="441.53"/>
  </r>
  <r>
    <x v="15"/>
    <x v="2"/>
    <x v="0"/>
    <n v="1264.49"/>
    <n v="16"/>
    <n v="0.05"/>
    <d v="2024-09-14T00:00:00"/>
    <n v="480.51"/>
  </r>
  <r>
    <x v="24"/>
    <x v="0"/>
    <x v="3"/>
    <n v="1101.55"/>
    <n v="4"/>
    <n v="0.1"/>
    <d v="2024-09-16T00:00:00"/>
    <n v="346.99"/>
  </r>
  <r>
    <x v="1"/>
    <x v="2"/>
    <x v="3"/>
    <n v="727.73"/>
    <n v="1"/>
    <n v="0.1"/>
    <d v="2024-09-17T00:00:00"/>
    <n v="229.23"/>
  </r>
  <r>
    <x v="9"/>
    <x v="1"/>
    <x v="4"/>
    <n v="875.41"/>
    <n v="13"/>
    <n v="0.15"/>
    <d v="2024-09-17T00:00:00"/>
    <n v="334.84"/>
  </r>
  <r>
    <x v="3"/>
    <x v="0"/>
    <x v="2"/>
    <n v="1158.94"/>
    <n v="19"/>
    <n v="0.2"/>
    <d v="2024-09-18T00:00:00"/>
    <n v="231.79"/>
  </r>
  <r>
    <x v="13"/>
    <x v="2"/>
    <x v="0"/>
    <n v="966.3"/>
    <n v="2"/>
    <n v="0.15"/>
    <d v="2024-09-22T00:00:00"/>
    <n v="328.54"/>
  </r>
  <r>
    <x v="2"/>
    <x v="2"/>
    <x v="0"/>
    <n v="917.48"/>
    <n v="6"/>
    <n v="0"/>
    <d v="2024-09-23T00:00:00"/>
    <n v="366.99"/>
  </r>
  <r>
    <x v="21"/>
    <x v="0"/>
    <x v="3"/>
    <n v="1172.97"/>
    <n v="7"/>
    <n v="0.15"/>
    <d v="2024-09-24T00:00:00"/>
    <n v="348.96"/>
  </r>
  <r>
    <x v="3"/>
    <x v="3"/>
    <x v="1"/>
    <n v="1205.82"/>
    <n v="11"/>
    <n v="0.1"/>
    <d v="2024-09-24T00:00:00"/>
    <n v="542.62"/>
  </r>
  <r>
    <x v="23"/>
    <x v="0"/>
    <x v="4"/>
    <n v="826.93"/>
    <n v="10"/>
    <n v="0.2"/>
    <d v="2024-09-29T00:00:00"/>
    <n v="297.69"/>
  </r>
  <r>
    <x v="3"/>
    <x v="4"/>
    <x v="1"/>
    <n v="902.19"/>
    <n v="12"/>
    <n v="0"/>
    <d v="2024-09-29T00:00:00"/>
    <n v="451.1"/>
  </r>
  <r>
    <x v="9"/>
    <x v="3"/>
    <x v="0"/>
    <n v="585.97"/>
    <n v="17"/>
    <n v="0.1"/>
    <d v="2024-09-30T00:00:00"/>
    <n v="210.95"/>
  </r>
  <r>
    <x v="4"/>
    <x v="3"/>
    <x v="1"/>
    <n v="990.19"/>
    <n v="8"/>
    <n v="0.1"/>
    <d v="2024-09-30T00:00:00"/>
    <n v="445.59"/>
  </r>
  <r>
    <x v="19"/>
    <x v="4"/>
    <x v="2"/>
    <n v="1014.09"/>
    <n v="13"/>
    <n v="0.2"/>
    <d v="2024-10-02T00:00:00"/>
    <n v="202.82"/>
  </r>
  <r>
    <x v="14"/>
    <x v="3"/>
    <x v="2"/>
    <n v="925.29"/>
    <n v="17"/>
    <n v="0"/>
    <d v="2024-10-05T00:00:00"/>
    <n v="231.32"/>
  </r>
  <r>
    <x v="13"/>
    <x v="1"/>
    <x v="3"/>
    <n v="1286.54"/>
    <n v="8"/>
    <n v="0"/>
    <d v="2024-10-10T00:00:00"/>
    <n v="450.29"/>
  </r>
  <r>
    <x v="23"/>
    <x v="2"/>
    <x v="0"/>
    <n v="961.62"/>
    <n v="8"/>
    <n v="0.2"/>
    <d v="2024-10-12T00:00:00"/>
    <n v="307.72000000000003"/>
  </r>
  <r>
    <x v="3"/>
    <x v="1"/>
    <x v="0"/>
    <n v="1081.1400000000001"/>
    <n v="19"/>
    <n v="0.15"/>
    <d v="2024-10-12T00:00:00"/>
    <n v="367.59"/>
  </r>
  <r>
    <x v="3"/>
    <x v="0"/>
    <x v="1"/>
    <n v="1923.66"/>
    <n v="9"/>
    <n v="0.2"/>
    <d v="2024-10-15T00:00:00"/>
    <n v="769.46"/>
  </r>
  <r>
    <x v="24"/>
    <x v="4"/>
    <x v="1"/>
    <n v="728.71"/>
    <n v="14"/>
    <n v="0.1"/>
    <d v="2024-10-16T00:00:00"/>
    <n v="327.92"/>
  </r>
  <r>
    <x v="7"/>
    <x v="4"/>
    <x v="1"/>
    <n v="1301.8900000000001"/>
    <n v="7"/>
    <n v="0.15"/>
    <d v="2024-10-16T00:00:00"/>
    <n v="553.29999999999995"/>
  </r>
  <r>
    <x v="24"/>
    <x v="1"/>
    <x v="0"/>
    <n v="980.18"/>
    <n v="16"/>
    <n v="0.1"/>
    <d v="2024-10-17T00:00:00"/>
    <n v="352.86"/>
  </r>
  <r>
    <x v="3"/>
    <x v="0"/>
    <x v="1"/>
    <n v="697.57"/>
    <n v="17"/>
    <n v="0.1"/>
    <d v="2024-10-19T00:00:00"/>
    <n v="313.91000000000003"/>
  </r>
  <r>
    <x v="26"/>
    <x v="0"/>
    <x v="3"/>
    <n v="1193.6099999999999"/>
    <n v="1"/>
    <n v="0.15"/>
    <d v="2024-10-19T00:00:00"/>
    <n v="355.1"/>
  </r>
  <r>
    <x v="9"/>
    <x v="2"/>
    <x v="2"/>
    <n v="771.02"/>
    <n v="1"/>
    <n v="0"/>
    <d v="2024-10-20T00:00:00"/>
    <n v="192.76"/>
  </r>
  <r>
    <x v="25"/>
    <x v="3"/>
    <x v="1"/>
    <n v="661.09"/>
    <n v="1"/>
    <n v="0.2"/>
    <d v="2024-10-28T00:00:00"/>
    <n v="264.44"/>
  </r>
  <r>
    <x v="18"/>
    <x v="0"/>
    <x v="2"/>
    <n v="688.83"/>
    <n v="15"/>
    <n v="0"/>
    <d v="2024-10-30T00:00:00"/>
    <n v="172.21"/>
  </r>
  <r>
    <x v="5"/>
    <x v="4"/>
    <x v="0"/>
    <n v="1249.0999999999999"/>
    <n v="4"/>
    <n v="0.05"/>
    <d v="2024-11-01T00:00:00"/>
    <n v="474.66"/>
  </r>
  <r>
    <x v="3"/>
    <x v="1"/>
    <x v="4"/>
    <n v="1014.22"/>
    <n v="14"/>
    <n v="0.05"/>
    <d v="2024-11-03T00:00:00"/>
    <n v="433.58"/>
  </r>
  <r>
    <x v="14"/>
    <x v="1"/>
    <x v="0"/>
    <n v="1010.58"/>
    <n v="2"/>
    <n v="0.15"/>
    <d v="2024-11-09T00:00:00"/>
    <n v="343.6"/>
  </r>
  <r>
    <x v="20"/>
    <x v="3"/>
    <x v="3"/>
    <n v="957.29"/>
    <n v="4"/>
    <n v="0.05"/>
    <d v="2024-11-09T00:00:00"/>
    <n v="318.3"/>
  </r>
  <r>
    <x v="12"/>
    <x v="3"/>
    <x v="3"/>
    <n v="1077.92"/>
    <n v="3"/>
    <n v="0.05"/>
    <d v="2024-11-12T00:00:00"/>
    <n v="358.41"/>
  </r>
  <r>
    <x v="15"/>
    <x v="2"/>
    <x v="1"/>
    <n v="1163.01"/>
    <n v="5"/>
    <n v="0"/>
    <d v="2024-11-15T00:00:00"/>
    <n v="581.5"/>
  </r>
  <r>
    <x v="12"/>
    <x v="1"/>
    <x v="4"/>
    <n v="1014.56"/>
    <n v="10"/>
    <n v="0.1"/>
    <d v="2024-11-16T00:00:00"/>
    <n v="410.9"/>
  </r>
  <r>
    <x v="2"/>
    <x v="2"/>
    <x v="2"/>
    <n v="718.04"/>
    <n v="14"/>
    <n v="0"/>
    <d v="2024-11-17T00:00:00"/>
    <n v="179.51"/>
  </r>
  <r>
    <x v="2"/>
    <x v="4"/>
    <x v="1"/>
    <n v="1277.8499999999999"/>
    <n v="18"/>
    <n v="0.2"/>
    <d v="2024-11-17T00:00:00"/>
    <n v="511.14"/>
  </r>
  <r>
    <x v="3"/>
    <x v="3"/>
    <x v="2"/>
    <n v="706.73"/>
    <n v="1"/>
    <n v="0.15"/>
    <d v="2024-11-17T00:00:00"/>
    <n v="150.18"/>
  </r>
  <r>
    <x v="15"/>
    <x v="1"/>
    <x v="2"/>
    <n v="1410.59"/>
    <n v="15"/>
    <n v="0"/>
    <d v="2024-11-19T00:00:00"/>
    <n v="352.65"/>
  </r>
  <r>
    <x v="21"/>
    <x v="2"/>
    <x v="3"/>
    <n v="1350.33"/>
    <n v="10"/>
    <n v="0"/>
    <d v="2024-11-19T00:00:00"/>
    <n v="472.62"/>
  </r>
  <r>
    <x v="12"/>
    <x v="1"/>
    <x v="2"/>
    <n v="919.18"/>
    <n v="4"/>
    <n v="0.15"/>
    <d v="2024-11-19T00:00:00"/>
    <n v="195.33"/>
  </r>
  <r>
    <x v="3"/>
    <x v="0"/>
    <x v="2"/>
    <n v="258.51"/>
    <n v="19"/>
    <n v="0"/>
    <d v="2024-11-20T00:00:00"/>
    <n v="64.63"/>
  </r>
  <r>
    <x v="21"/>
    <x v="1"/>
    <x v="0"/>
    <n v="1213.48"/>
    <n v="5"/>
    <n v="0.05"/>
    <d v="2024-11-20T00:00:00"/>
    <n v="461.12"/>
  </r>
  <r>
    <x v="9"/>
    <x v="4"/>
    <x v="0"/>
    <n v="1150.28"/>
    <n v="8"/>
    <n v="0.05"/>
    <d v="2024-11-26T00:00:00"/>
    <n v="437.11"/>
  </r>
  <r>
    <x v="26"/>
    <x v="2"/>
    <x v="3"/>
    <n v="853.86"/>
    <n v="8"/>
    <n v="0.1"/>
    <d v="2024-11-26T00:00:00"/>
    <n v="268.97000000000003"/>
  </r>
  <r>
    <x v="12"/>
    <x v="2"/>
    <x v="2"/>
    <n v="1061.04"/>
    <n v="1"/>
    <n v="0"/>
    <d v="2024-11-28T00:00:00"/>
    <n v="265.26"/>
  </r>
  <r>
    <x v="11"/>
    <x v="0"/>
    <x v="2"/>
    <n v="894.55"/>
    <n v="19"/>
    <n v="0.2"/>
    <d v="2024-11-29T00:00:00"/>
    <n v="178.91"/>
  </r>
  <r>
    <x v="9"/>
    <x v="3"/>
    <x v="4"/>
    <n v="833.91"/>
    <n v="3"/>
    <n v="0.05"/>
    <d v="2024-11-30T00:00:00"/>
    <n v="356.5"/>
  </r>
  <r>
    <x v="26"/>
    <x v="0"/>
    <x v="3"/>
    <n v="820.19"/>
    <n v="4"/>
    <n v="0.2"/>
    <d v="2024-12-04T00:00:00"/>
    <n v="229.65"/>
  </r>
  <r>
    <x v="9"/>
    <x v="4"/>
    <x v="2"/>
    <n v="511.74"/>
    <n v="8"/>
    <n v="0.05"/>
    <d v="2024-12-05T00:00:00"/>
    <n v="121.54"/>
  </r>
  <r>
    <x v="21"/>
    <x v="2"/>
    <x v="3"/>
    <n v="806.03"/>
    <n v="19"/>
    <n v="0.05"/>
    <d v="2024-12-12T00:00:00"/>
    <n v="268"/>
  </r>
  <r>
    <x v="4"/>
    <x v="4"/>
    <x v="3"/>
    <n v="1432.47"/>
    <n v="16"/>
    <n v="0.15"/>
    <d v="2024-12-14T00:00:00"/>
    <n v="426.16"/>
  </r>
  <r>
    <x v="5"/>
    <x v="4"/>
    <x v="2"/>
    <n v="1488.58"/>
    <n v="10"/>
    <n v="0.15"/>
    <d v="2024-12-14T00:00:00"/>
    <n v="316.32"/>
  </r>
  <r>
    <x v="24"/>
    <x v="1"/>
    <x v="0"/>
    <n v="1231.26"/>
    <n v="9"/>
    <n v="0"/>
    <d v="2024-12-20T00:00:00"/>
    <n v="492.5"/>
  </r>
  <r>
    <x v="11"/>
    <x v="0"/>
    <x v="2"/>
    <n v="1161.67"/>
    <n v="19"/>
    <n v="0.2"/>
    <d v="2024-12-21T00:00:00"/>
    <n v="232.33"/>
  </r>
  <r>
    <x v="12"/>
    <x v="4"/>
    <x v="4"/>
    <n v="388.23"/>
    <n v="16"/>
    <n v="0.05"/>
    <d v="2024-12-24T00:00:00"/>
    <n v="165.97"/>
  </r>
  <r>
    <x v="6"/>
    <x v="3"/>
    <x v="1"/>
    <n v="1589.42"/>
    <n v="6"/>
    <n v="0.15"/>
    <d v="2024-12-25T00:00:00"/>
    <n v="675.5"/>
  </r>
  <r>
    <x v="26"/>
    <x v="3"/>
    <x v="1"/>
    <n v="336.66"/>
    <n v="13"/>
    <n v="0.2"/>
    <d v="2024-12-25T00:00:00"/>
    <n v="134.66"/>
  </r>
  <r>
    <x v="3"/>
    <x v="0"/>
    <x v="0"/>
    <n v="1353.79"/>
    <n v="14"/>
    <n v="0.1"/>
    <d v="2024-12-30T00:00:00"/>
    <n v="487.36"/>
  </r>
  <r>
    <x v="25"/>
    <x v="4"/>
    <x v="1"/>
    <n v="662.61"/>
    <n v="11"/>
    <n v="0.05"/>
    <d v="2025-01-01T00:00:00"/>
    <n v="314.74"/>
  </r>
  <r>
    <x v="14"/>
    <x v="3"/>
    <x v="4"/>
    <n v="309.42"/>
    <n v="1"/>
    <n v="0.2"/>
    <d v="2025-01-01T00:00:00"/>
    <n v="111.39"/>
  </r>
  <r>
    <x v="5"/>
    <x v="3"/>
    <x v="0"/>
    <n v="884.63"/>
    <n v="18"/>
    <n v="0.1"/>
    <d v="2025-01-02T00:00:00"/>
    <n v="318.47000000000003"/>
  </r>
  <r>
    <x v="3"/>
    <x v="4"/>
    <x v="4"/>
    <n v="745.05"/>
    <n v="10"/>
    <n v="0.1"/>
    <d v="2025-01-03T00:00:00"/>
    <n v="301.75"/>
  </r>
  <r>
    <x v="2"/>
    <x v="2"/>
    <x v="1"/>
    <n v="870.23"/>
    <n v="5"/>
    <n v="0.05"/>
    <d v="2025-01-03T00:00:00"/>
    <n v="413.36"/>
  </r>
  <r>
    <x v="5"/>
    <x v="0"/>
    <x v="3"/>
    <n v="862.19"/>
    <n v="18"/>
    <n v="0.05"/>
    <d v="2025-01-06T00:00:00"/>
    <n v="286.68"/>
  </r>
  <r>
    <x v="20"/>
    <x v="3"/>
    <x v="1"/>
    <n v="1171.18"/>
    <n v="19"/>
    <n v="0.05"/>
    <d v="2025-01-10T00:00:00"/>
    <n v="556.30999999999995"/>
  </r>
  <r>
    <x v="1"/>
    <x v="2"/>
    <x v="3"/>
    <n v="1054.56"/>
    <n v="11"/>
    <n v="0.1"/>
    <d v="2025-01-12T00:00:00"/>
    <n v="332.19"/>
  </r>
  <r>
    <x v="3"/>
    <x v="3"/>
    <x v="2"/>
    <n v="1681.21"/>
    <n v="5"/>
    <n v="0.2"/>
    <d v="2025-01-13T00:00:00"/>
    <n v="336.24"/>
  </r>
  <r>
    <x v="8"/>
    <x v="0"/>
    <x v="1"/>
    <n v="379.77"/>
    <n v="9"/>
    <n v="0.05"/>
    <d v="2025-01-16T00:00:00"/>
    <n v="180.39"/>
  </r>
  <r>
    <x v="12"/>
    <x v="4"/>
    <x v="1"/>
    <n v="1076.33"/>
    <n v="2"/>
    <n v="0.1"/>
    <d v="2025-01-17T00:00:00"/>
    <n v="484.35"/>
  </r>
  <r>
    <x v="6"/>
    <x v="4"/>
    <x v="4"/>
    <n v="1250.71"/>
    <n v="7"/>
    <n v="0"/>
    <d v="2025-01-17T00:00:00"/>
    <n v="562.82000000000005"/>
  </r>
  <r>
    <x v="2"/>
    <x v="2"/>
    <x v="1"/>
    <n v="1118.3399999999999"/>
    <n v="6"/>
    <n v="0.2"/>
    <d v="2025-01-17T00:00:00"/>
    <n v="447.34"/>
  </r>
  <r>
    <x v="17"/>
    <x v="3"/>
    <x v="1"/>
    <n v="1622.62"/>
    <n v="12"/>
    <n v="0.2"/>
    <d v="2025-01-20T00:00:00"/>
    <n v="649.04999999999995"/>
  </r>
  <r>
    <x v="14"/>
    <x v="3"/>
    <x v="0"/>
    <n v="640.64"/>
    <n v="11"/>
    <n v="0.2"/>
    <d v="2025-01-21T00:00:00"/>
    <n v="205"/>
  </r>
  <r>
    <x v="11"/>
    <x v="0"/>
    <x v="1"/>
    <n v="585.16"/>
    <n v="17"/>
    <n v="0.1"/>
    <d v="2025-01-27T00:00:00"/>
    <n v="263.32"/>
  </r>
  <r>
    <x v="6"/>
    <x v="1"/>
    <x v="1"/>
    <n v="1109.98"/>
    <n v="5"/>
    <n v="0.2"/>
    <d v="2025-02-02T00:00:00"/>
    <n v="443.99"/>
  </r>
  <r>
    <x v="12"/>
    <x v="1"/>
    <x v="0"/>
    <n v="1098.08"/>
    <n v="9"/>
    <n v="0.1"/>
    <d v="2025-02-04T00:00:00"/>
    <n v="395.31"/>
  </r>
  <r>
    <x v="14"/>
    <x v="0"/>
    <x v="4"/>
    <n v="827.25"/>
    <n v="7"/>
    <n v="0.1"/>
    <d v="2025-02-05T00:00:00"/>
    <n v="335.04"/>
  </r>
  <r>
    <x v="5"/>
    <x v="4"/>
    <x v="1"/>
    <n v="741.88"/>
    <n v="16"/>
    <n v="0.1"/>
    <d v="2025-02-07T00:00:00"/>
    <n v="333.85"/>
  </r>
  <r>
    <x v="0"/>
    <x v="1"/>
    <x v="4"/>
    <n v="1311.26"/>
    <n v="6"/>
    <n v="0.1"/>
    <d v="2025-02-10T00:00:00"/>
    <n v="531.05999999999995"/>
  </r>
  <r>
    <x v="6"/>
    <x v="2"/>
    <x v="4"/>
    <n v="573.32000000000005"/>
    <n v="19"/>
    <n v="0.1"/>
    <d v="2025-02-15T00:00:00"/>
    <n v="232.19"/>
  </r>
  <r>
    <x v="3"/>
    <x v="0"/>
    <x v="2"/>
    <n v="1115.22"/>
    <n v="14"/>
    <n v="0.2"/>
    <d v="2025-02-17T00:00:00"/>
    <n v="223.04"/>
  </r>
  <r>
    <x v="12"/>
    <x v="3"/>
    <x v="1"/>
    <n v="845.84"/>
    <n v="4"/>
    <n v="0"/>
    <d v="2025-02-19T00:00:00"/>
    <n v="422.92"/>
  </r>
  <r>
    <x v="18"/>
    <x v="0"/>
    <x v="2"/>
    <n v="1029.8"/>
    <n v="3"/>
    <n v="0"/>
    <d v="2025-02-20T00:00:00"/>
    <n v="257.45"/>
  </r>
  <r>
    <x v="6"/>
    <x v="3"/>
    <x v="0"/>
    <n v="1189.83"/>
    <n v="2"/>
    <n v="0.2"/>
    <d v="2025-02-21T00:00:00"/>
    <n v="380.75"/>
  </r>
  <r>
    <x v="11"/>
    <x v="2"/>
    <x v="0"/>
    <n v="704.28"/>
    <n v="15"/>
    <n v="0.2"/>
    <d v="2025-02-24T00:00:00"/>
    <n v="225.37"/>
  </r>
  <r>
    <x v="13"/>
    <x v="4"/>
    <x v="4"/>
    <n v="1618.22"/>
    <n v="12"/>
    <n v="0.2"/>
    <d v="2025-02-24T00:00:00"/>
    <n v="582.55999999999995"/>
  </r>
  <r>
    <x v="17"/>
    <x v="4"/>
    <x v="0"/>
    <n v="1014.43"/>
    <n v="2"/>
    <n v="0.15"/>
    <d v="2025-02-25T00:00:00"/>
    <n v="344.91"/>
  </r>
  <r>
    <x v="6"/>
    <x v="4"/>
    <x v="1"/>
    <n v="826.97"/>
    <n v="18"/>
    <n v="0.2"/>
    <d v="2025-02-27T00:00:00"/>
    <n v="330.79"/>
  </r>
  <r>
    <x v="6"/>
    <x v="4"/>
    <x v="1"/>
    <n v="1022.23"/>
    <n v="8"/>
    <n v="0.1"/>
    <d v="2025-03-01T00:00:00"/>
    <n v="460"/>
  </r>
  <r>
    <x v="5"/>
    <x v="1"/>
    <x v="0"/>
    <n v="1099.69"/>
    <n v="6"/>
    <n v="0"/>
    <d v="2025-03-02T00:00:00"/>
    <n v="439.88"/>
  </r>
  <r>
    <x v="23"/>
    <x v="3"/>
    <x v="0"/>
    <n v="710.52"/>
    <n v="8"/>
    <n v="0.1"/>
    <d v="2025-03-05T00:00:00"/>
    <n v="255.79"/>
  </r>
  <r>
    <x v="20"/>
    <x v="3"/>
    <x v="0"/>
    <n v="499.18"/>
    <n v="15"/>
    <n v="0.2"/>
    <d v="2025-03-08T00:00:00"/>
    <n v="159.74"/>
  </r>
  <r>
    <x v="9"/>
    <x v="2"/>
    <x v="0"/>
    <n v="1064.19"/>
    <n v="18"/>
    <n v="0.05"/>
    <d v="2025-03-09T00:00:00"/>
    <n v="404.39"/>
  </r>
  <r>
    <x v="9"/>
    <x v="1"/>
    <x v="4"/>
    <n v="438.76"/>
    <n v="18"/>
    <n v="0.05"/>
    <d v="2025-03-10T00:00:00"/>
    <n v="187.57"/>
  </r>
  <r>
    <x v="18"/>
    <x v="0"/>
    <x v="1"/>
    <n v="864.98"/>
    <n v="2"/>
    <n v="0.05"/>
    <d v="2025-03-11T00:00:00"/>
    <n v="410.87"/>
  </r>
  <r>
    <x v="18"/>
    <x v="0"/>
    <x v="3"/>
    <n v="984.93"/>
    <n v="14"/>
    <n v="0.2"/>
    <d v="2025-03-17T00:00:00"/>
    <n v="275.77999999999997"/>
  </r>
  <r>
    <x v="18"/>
    <x v="0"/>
    <x v="1"/>
    <n v="1493.49"/>
    <n v="18"/>
    <n v="0"/>
    <d v="2025-03-18T00:00:00"/>
    <n v="746.74"/>
  </r>
  <r>
    <x v="17"/>
    <x v="2"/>
    <x v="1"/>
    <n v="689.43"/>
    <n v="9"/>
    <n v="0.1"/>
    <d v="2025-03-20T00:00:00"/>
    <n v="310.24"/>
  </r>
  <r>
    <x v="20"/>
    <x v="2"/>
    <x v="1"/>
    <n v="682.24"/>
    <n v="1"/>
    <n v="0"/>
    <d v="2025-03-22T00:00:00"/>
    <n v="341.12"/>
  </r>
  <r>
    <x v="4"/>
    <x v="3"/>
    <x v="2"/>
    <n v="458.54"/>
    <n v="15"/>
    <n v="0.2"/>
    <d v="2025-03-25T00:00:00"/>
    <n v="91.71"/>
  </r>
  <r>
    <x v="4"/>
    <x v="2"/>
    <x v="3"/>
    <n v="1184.25"/>
    <n v="11"/>
    <n v="0.2"/>
    <d v="2025-03-26T00:00:00"/>
    <n v="331.59"/>
  </r>
  <r>
    <x v="0"/>
    <x v="2"/>
    <x v="1"/>
    <n v="762.14"/>
    <n v="9"/>
    <n v="0"/>
    <d v="2025-03-27T00:00:00"/>
    <n v="381.07"/>
  </r>
  <r>
    <x v="17"/>
    <x v="3"/>
    <x v="0"/>
    <n v="750.71"/>
    <n v="10"/>
    <n v="0.15"/>
    <d v="2025-03-27T00:00:00"/>
    <n v="255.24"/>
  </r>
  <r>
    <x v="26"/>
    <x v="4"/>
    <x v="1"/>
    <n v="1456.94"/>
    <n v="14"/>
    <n v="0.05"/>
    <d v="2025-03-29T00:00:00"/>
    <n v="692.05"/>
  </r>
  <r>
    <x v="21"/>
    <x v="1"/>
    <x v="3"/>
    <n v="1093.3800000000001"/>
    <n v="17"/>
    <n v="0.1"/>
    <d v="2025-03-29T00:00:00"/>
    <n v="344.41"/>
  </r>
  <r>
    <x v="11"/>
    <x v="0"/>
    <x v="1"/>
    <n v="934.27"/>
    <n v="8"/>
    <n v="0.15"/>
    <d v="2025-03-30T00:00:00"/>
    <n v="397.06"/>
  </r>
  <r>
    <x v="8"/>
    <x v="4"/>
    <x v="1"/>
    <n v="1465.35"/>
    <n v="8"/>
    <n v="0.2"/>
    <d v="2025-03-30T00:00:00"/>
    <n v="586.14"/>
  </r>
  <r>
    <x v="1"/>
    <x v="2"/>
    <x v="4"/>
    <n v="740.8"/>
    <n v="3"/>
    <n v="0"/>
    <d v="2025-04-02T00:00:00"/>
    <n v="333.36"/>
  </r>
  <r>
    <x v="11"/>
    <x v="0"/>
    <x v="4"/>
    <n v="545.44000000000005"/>
    <n v="17"/>
    <n v="0"/>
    <d v="2025-04-05T00:00:00"/>
    <n v="245.45"/>
  </r>
  <r>
    <x v="8"/>
    <x v="1"/>
    <x v="0"/>
    <n v="997.61"/>
    <n v="8"/>
    <n v="0.05"/>
    <d v="2025-04-05T00:00:00"/>
    <n v="379.09"/>
  </r>
  <r>
    <x v="8"/>
    <x v="2"/>
    <x v="1"/>
    <n v="928.32"/>
    <n v="2"/>
    <n v="0.05"/>
    <d v="2025-04-07T00:00:00"/>
    <n v="440.9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13B3369-BEB6-4B28-A189-D4135013DD82}" name="PivotTable2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J11:K17" firstHeaderRow="1" firstDataRow="1" firstDataCol="1"/>
  <pivotFields count="8">
    <pivotField showAll="0"/>
    <pivotField showAll="0"/>
    <pivotField axis="axisRow" showAll="0">
      <items count="6">
        <item x="0"/>
        <item x="1"/>
        <item x="2"/>
        <item x="3"/>
        <item x="4"/>
        <item t="default"/>
      </items>
    </pivotField>
    <pivotField dataField="1" numFmtId="165" showAll="0"/>
    <pivotField showAll="0"/>
    <pivotField numFmtId="9" showAll="0"/>
    <pivotField numFmtId="14" showAll="0"/>
    <pivotField numFmtId="165" showAll="0"/>
  </pivotFields>
  <rowFields count="1">
    <field x="2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Sales" fld="3" baseField="0" baseItem="0" numFmtId="165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A890A1A-799C-447D-8953-F770C594DF09}" name="PivotTable1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J2:K8" firstHeaderRow="1" firstDataRow="1" firstDataCol="1"/>
  <pivotFields count="8">
    <pivotField showAll="0"/>
    <pivotField axis="axisRow" showAll="0">
      <items count="6">
        <item x="4"/>
        <item x="1"/>
        <item x="3"/>
        <item x="2"/>
        <item x="0"/>
        <item t="default"/>
      </items>
    </pivotField>
    <pivotField showAll="0"/>
    <pivotField dataField="1" numFmtId="165" showAll="0"/>
    <pivotField showAll="0"/>
    <pivotField numFmtId="9" showAll="0"/>
    <pivotField numFmtId="14" showAll="0"/>
    <pivotField numFmtId="165" showAll="0"/>
  </pivotFields>
  <rowFields count="1">
    <field x="1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Sales" fld="3" baseField="0" baseItem="0" numFmtId="165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0524D55-84BF-402C-A6EE-25776FAEF2E8}" name="PivotTable20" cacheId="3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J41:K52" firstHeaderRow="1" firstDataRow="1" firstDataCol="1"/>
  <pivotFields count="8">
    <pivotField axis="axisRow" showAll="0" measureFilter="1">
      <items count="28">
        <item x="26"/>
        <item x="18"/>
        <item x="19"/>
        <item x="10"/>
        <item x="8"/>
        <item x="9"/>
        <item x="24"/>
        <item x="21"/>
        <item x="0"/>
        <item x="2"/>
        <item x="3"/>
        <item x="16"/>
        <item x="15"/>
        <item x="22"/>
        <item x="7"/>
        <item x="25"/>
        <item x="17"/>
        <item x="5"/>
        <item x="14"/>
        <item x="12"/>
        <item x="6"/>
        <item x="13"/>
        <item x="20"/>
        <item x="4"/>
        <item x="1"/>
        <item x="11"/>
        <item x="23"/>
        <item t="default"/>
      </items>
    </pivotField>
    <pivotField showAll="0"/>
    <pivotField showAll="0"/>
    <pivotField dataField="1" numFmtId="165" showAll="0"/>
    <pivotField showAll="0"/>
    <pivotField numFmtId="9" showAll="0"/>
    <pivotField numFmtId="14" showAll="0"/>
    <pivotField numFmtId="165" showAll="0"/>
  </pivotFields>
  <rowFields count="1">
    <field x="0"/>
  </rowFields>
  <rowItems count="11">
    <i>
      <x v="1"/>
    </i>
    <i>
      <x v="5"/>
    </i>
    <i>
      <x v="7"/>
    </i>
    <i>
      <x v="10"/>
    </i>
    <i>
      <x v="17"/>
    </i>
    <i>
      <x v="18"/>
    </i>
    <i>
      <x v="19"/>
    </i>
    <i>
      <x v="20"/>
    </i>
    <i>
      <x v="23"/>
    </i>
    <i>
      <x v="24"/>
    </i>
    <i t="grand">
      <x/>
    </i>
  </rowItems>
  <colItems count="1">
    <i/>
  </colItems>
  <dataFields count="1">
    <dataField name="Sum of Sales" fld="3" baseField="0" baseItem="0" numFmtId="165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0" type="count" evalOrder="-1" id="1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6838B05-B848-4987-9113-90CD807B288D}" name="PivotTable19" cacheId="3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>
  <location ref="J27:K33" firstHeaderRow="1" firstDataRow="1" firstDataCol="1"/>
  <pivotFields count="8">
    <pivotField showAll="0">
      <items count="28">
        <item x="26"/>
        <item x="18"/>
        <item x="19"/>
        <item x="10"/>
        <item x="8"/>
        <item x="9"/>
        <item x="24"/>
        <item x="21"/>
        <item x="0"/>
        <item x="2"/>
        <item x="3"/>
        <item x="16"/>
        <item x="15"/>
        <item x="22"/>
        <item x="7"/>
        <item x="25"/>
        <item x="17"/>
        <item x="5"/>
        <item x="14"/>
        <item x="12"/>
        <item x="6"/>
        <item x="13"/>
        <item x="20"/>
        <item x="4"/>
        <item x="1"/>
        <item x="11"/>
        <item x="23"/>
        <item t="default"/>
      </items>
    </pivotField>
    <pivotField axis="axisRow" showAll="0">
      <items count="6">
        <item x="4"/>
        <item x="1"/>
        <item x="3"/>
        <item x="2"/>
        <item x="0"/>
        <item t="default"/>
      </items>
    </pivotField>
    <pivotField showAll="0">
      <items count="6">
        <item x="0"/>
        <item x="1"/>
        <item x="2"/>
        <item x="3"/>
        <item x="4"/>
        <item t="default"/>
      </items>
    </pivotField>
    <pivotField dataField="1" numFmtId="165" showAll="0"/>
    <pivotField showAll="0"/>
    <pivotField numFmtId="9" showAll="0"/>
    <pivotField numFmtId="14" showAll="0"/>
    <pivotField numFmtId="165" showAll="0"/>
  </pivotFields>
  <rowFields count="1">
    <field x="1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Sales" fld="3" baseField="0" baseItem="0" numFmtId="165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31CD32C-F5D7-492E-9044-B9D7C933C874}" name="PivotTable18" cacheId="3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J16:K22" firstHeaderRow="1" firstDataRow="1" firstDataCol="1"/>
  <pivotFields count="8">
    <pivotField showAll="0"/>
    <pivotField showAll="0"/>
    <pivotField axis="axisRow" showAll="0">
      <items count="6">
        <item x="0"/>
        <item x="1"/>
        <item x="2"/>
        <item x="3"/>
        <item x="4"/>
        <item t="default"/>
      </items>
    </pivotField>
    <pivotField dataField="1" numFmtId="165" showAll="0"/>
    <pivotField showAll="0"/>
    <pivotField numFmtId="9" showAll="0"/>
    <pivotField numFmtId="14" showAll="0"/>
    <pivotField numFmtId="165" showAll="0"/>
  </pivotFields>
  <rowFields count="1">
    <field x="2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Sales" fld="3" baseField="0" baseItem="0" numFmtId="165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8A7E1DC-E53E-4B45-99F8-8B07DD68E08E}" name="PivotTable17" cacheId="3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9">
  <location ref="J1:K7" firstHeaderRow="1" firstDataRow="1" firstDataCol="1"/>
  <pivotFields count="8">
    <pivotField showAll="0"/>
    <pivotField axis="axisRow" showAll="0">
      <items count="6">
        <item x="4"/>
        <item x="1"/>
        <item x="3"/>
        <item x="2"/>
        <item x="0"/>
        <item t="default"/>
      </items>
    </pivotField>
    <pivotField showAll="0"/>
    <pivotField dataField="1" numFmtId="165" showAll="0"/>
    <pivotField showAll="0"/>
    <pivotField numFmtId="9" showAll="0"/>
    <pivotField numFmtId="14" showAll="0"/>
    <pivotField numFmtId="165" showAll="0"/>
  </pivotFields>
  <rowFields count="1">
    <field x="1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Sales" fld="3" baseField="0" baseItem="0" numFmtId="165"/>
  </dataFields>
  <chartFormats count="7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8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8" format="9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8" format="10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8" format="11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8" format="12">
      <pivotArea type="data" outline="0" fieldPosition="0">
        <references count="2">
          <reference field="4294967294" count="1" selected="0">
            <x v="0"/>
          </reference>
          <reference field="1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8508E7A-8356-41EF-858F-76C01235EEB4}" name="Table1" displayName="Table1" ref="A1:I201" totalsRowShown="0" headerRowDxfId="40" dataDxfId="38" headerRowBorderDxfId="39" tableBorderDxfId="37" totalsRowBorderDxfId="36">
  <autoFilter ref="A1:I201" xr:uid="{C8508E7A-8356-41EF-858F-76C01235EEB4}"/>
  <tableColumns count="9">
    <tableColumn id="1" xr3:uid="{2E01B58B-B745-4C42-8DDC-CE6513D6EC7E}" name="Customer_ID" dataDxfId="35"/>
    <tableColumn id="2" xr3:uid="{C395317B-BB70-49B1-A2AA-7C8F5791F4DC}" name="Customer_Name" dataDxfId="34"/>
    <tableColumn id="3" xr3:uid="{B5BD1E29-A020-43E4-934C-EFBA7D7236AA}" name="Region" dataDxfId="33"/>
    <tableColumn id="4" xr3:uid="{2BBF0700-6F8A-4A00-AB78-185E072CAD10}" name="Product_Category" dataDxfId="32"/>
    <tableColumn id="5" xr3:uid="{E19C96B8-E30C-4437-8712-89F01A4D803C}" name="Sales" dataDxfId="31"/>
    <tableColumn id="6" xr3:uid="{D9144DBA-7EB7-409E-97BB-456102239C63}" name="Quantity" dataDxfId="30"/>
    <tableColumn id="7" xr3:uid="{F992B815-A39A-4D7E-8866-9D6780588161}" name="Discount" dataDxfId="29"/>
    <tableColumn id="8" xr3:uid="{21485163-24CB-43FE-8E5F-550DEC7FE548}" name="Order_Date" dataDxfId="28"/>
    <tableColumn id="9" xr3:uid="{90147D6A-095D-4346-BCBA-F82840D63471}" name="Profit" dataDxfId="27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EB5D178-1AF4-44E5-9C1E-80C41B622848}" name="Table2" displayName="Table2" ref="A1:H148" totalsRowShown="0" headerRowDxfId="26">
  <autoFilter ref="A1:H148" xr:uid="{3EB5D178-1AF4-44E5-9C1E-80C41B622848}"/>
  <tableColumns count="8">
    <tableColumn id="1" xr3:uid="{8855104E-4A54-4B11-A50F-8C4B6D612997}" name="Customer_Name" dataDxfId="25"/>
    <tableColumn id="2" xr3:uid="{1EE3B7B9-40FC-4729-9171-155D2DA17FFE}" name="Region" dataDxfId="24"/>
    <tableColumn id="3" xr3:uid="{DD7ED751-E077-4A00-BB60-CA0EFF7878F0}" name="Product_Category" dataDxfId="23"/>
    <tableColumn id="4" xr3:uid="{91ABE2E1-686D-4211-B352-D7A4F4E208AA}" name="Sales" dataDxfId="22"/>
    <tableColumn id="5" xr3:uid="{9F40C6A2-AA6A-4E18-B13A-573623C222C5}" name="Quantity" dataDxfId="21"/>
    <tableColumn id="6" xr3:uid="{5A3840F0-4E1B-490F-9987-DC13299B7490}" name="Discount" dataDxfId="20"/>
    <tableColumn id="7" xr3:uid="{21FC0993-9AF5-499B-9639-F5E1361B07B7}" name="Order_Date" dataDxfId="19"/>
    <tableColumn id="8" xr3:uid="{2B40CDDA-09B3-41FC-909C-7B74046EF703}" name="Profit" dataDxfId="18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4BA2008F-CA4D-4673-9CF7-01AA1406329F}" name="Table3" displayName="Table3" ref="J1:L10" totalsRowShown="0" headerRowDxfId="17" headerRowBorderDxfId="16" tableBorderDxfId="15" totalsRowBorderDxfId="14">
  <autoFilter ref="J1:L10" xr:uid="{4BA2008F-CA4D-4673-9CF7-01AA1406329F}"/>
  <tableColumns count="3">
    <tableColumn id="1" xr3:uid="{960DAC65-77C1-45E4-9085-028D0066EA10}" name="month" dataDxfId="13"/>
    <tableColumn id="2" xr3:uid="{5C724D97-B9CA-465A-AFBB-0C7447A7647D}" name="Monthly_Sales" dataDxfId="12"/>
    <tableColumn id="3" xr3:uid="{F22C5669-E67B-45E0-9279-269AE5E07358}" name="Monthly_Sales_Growth" dataDxfId="11">
      <calculatedColumnFormula>(K3-K2)/K2</calculatedColumnFormula>
    </tableColumn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F0CCE314-844C-4615-9305-1A05FFC0D717}" name="Table25" displayName="Table25" ref="A1:I148" totalsRowShown="0" headerRowDxfId="10">
  <tableColumns count="9">
    <tableColumn id="1" xr3:uid="{8ED87088-A367-4F3E-9FBC-83BD80A36AEB}" name="Customer_Name" dataDxfId="9"/>
    <tableColumn id="2" xr3:uid="{12EF62E9-218F-4BF0-B38E-D3443BE88DED}" name="Region" dataDxfId="8"/>
    <tableColumn id="3" xr3:uid="{0D4299B0-3731-4318-BFE5-9BE1FC47D6D1}" name="Product_Category" dataDxfId="7"/>
    <tableColumn id="4" xr3:uid="{9A5F86D6-636A-49F5-A52A-5430354ECFA5}" name="Sales" dataDxfId="6"/>
    <tableColumn id="5" xr3:uid="{CEF44AE2-DC85-4C54-ADF4-A9F7BF508350}" name="Quantity" dataDxfId="5"/>
    <tableColumn id="6" xr3:uid="{229D553E-863C-4A1E-AE34-E7F16E7B4F5C}" name="Discount" dataDxfId="4"/>
    <tableColumn id="7" xr3:uid="{BC687811-E9AC-4040-8E2B-06D49F6AF31B}" name="Order_Date" dataDxfId="3"/>
    <tableColumn id="8" xr3:uid="{BEE6727E-D4E9-4EA9-9771-9269C1F87DAB}" name="Profit" dataDxfId="2"/>
    <tableColumn id="12" xr3:uid="{0E27E0F3-BB60-4A8E-AE7D-B5E674785D64}" name="TimeStamp" dataDxfId="1">
      <calculatedColumnFormula>NOW()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570" row="2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1F0C38F3-FE19-4BF1-B87A-73EF32693FC3}">
  <we:reference id="wa200010884" version="1.0.0.2" store="en-US" storeType="OMEX"/>
  <we:alternateReferences>
    <we:reference id="wa200010884" version="1.0.0.2" store="wa200010884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_xldudf_STAT_ACF</we:customFunctionIds>
        <we:customFunctionIds>_xldudf_STAT_ACOVF</we:customFunctionIds>
        <we:customFunctionIds>_xldudf_STAT_ADFULLER</we:customFunctionIds>
        <we:customFunctionIds>_xldudf_STAT_ALEXANDERGOVERN</we:customFunctionIds>
        <we:customFunctionIds>_xldudf_STAT_ANDERSON_KSAMP</we:customFunctionIds>
        <we:customFunctionIds>_xldudf_STAT_ANOVA</we:customFunctionIds>
        <we:customFunctionIds>_xldudf_STAT_ANSARI</we:customFunctionIds>
        <we:customFunctionIds>_xldudf_STAT_ARIMA_FORECAST</we:customFunctionIds>
        <we:customFunctionIds>_xldudf_STAT_ARMA_ORDER_IC</we:customFunctionIds>
        <we:customFunctionIds>_xldudf_STAT_BARNARD_EXACT</we:customFunctionIds>
        <we:customFunctionIds>_xldudf_STAT_BARTLETT</we:customFunctionIds>
        <we:customFunctionIds>_xldudf_STAT_BAYES_MVS_CI</we:customFunctionIds>
        <we:customFunctionIds>_xldudf_STAT_BB_LOGBETA</we:customFunctionIds>
        <we:customFunctionIds>_xldudf_STAT_BB_POST_UPDATE</we:customFunctionIds>
        <we:customFunctionIds>_xldudf_STAT_BB_QBETA</we:customFunctionIds>
        <we:customFunctionIds>_xldudf_STAT_BERNOULLI</we:customFunctionIds>
        <we:customFunctionIds>_xldudf_STAT_BETA</we:customFunctionIds>
        <we:customFunctionIds>_xldudf_STAT_BETA_CI_BOUNDS</we:customFunctionIds>
        <we:customFunctionIds>_xldudf_STAT_BETABINOM</we:customFunctionIds>
        <we:customFunctionIds>_xldudf_STAT_BETANBINOM</we:customFunctionIds>
        <we:customFunctionIds>_xldudf_STAT_BINNED_STATISTIC</we:customFunctionIds>
        <we:customFunctionIds>_xldudf_STAT_BINNED_STATISTIC_2D</we:customFunctionIds>
        <we:customFunctionIds>_xldudf_STAT_BINOM</we:customFunctionIds>
        <we:customFunctionIds>_xldudf_STAT_BINOMTEST</we:customFunctionIds>
        <we:customFunctionIds>_xldudf_STAT_BOLTZMANN</we:customFunctionIds>
        <we:customFunctionIds>_xldudf_STAT_BOSCHLOO_EXACT</we:customFunctionIds>
        <we:customFunctionIds>_xldudf_STAT_BRUNNERMUNZEL</we:customFunctionIds>
        <we:customFunctionIds>_xldudf_STAT_BWS_TEST</we:customFunctionIds>
        <we:customFunctionIds>_xldudf_STAT_CANCORR</we:customFunctionIds>
        <we:customFunctionIds>_xldudf_STAT_CAUCHY</we:customFunctionIds>
        <we:customFunctionIds>_xldudf_STAT_CCF</we:customFunctionIds>
        <we:customFunctionIds>_xldudf_STAT_CCOVF</we:customFunctionIds>
        <we:customFunctionIds>_xldudf_STAT_CHI2_CONTINGENCY</we:customFunctionIds>
        <we:customFunctionIds>_xldudf_STAT_CHISQ</we:customFunctionIds>
        <we:customFunctionIds>_xldudf_STAT_COX_HAZARDS</we:customFunctionIds>
        <we:customFunctionIds>_xldudf_STAT_CRONBACH_ALPHA</we:customFunctionIds>
        <we:customFunctionIds>_xldudf_STAT_CUMFREQ</we:customFunctionIds>
        <we:customFunctionIds>_xldudf_STAT_CVM_2SAMP</we:customFunctionIds>
        <we:customFunctionIds>_xldudf_STAT_DESCRIBE</we:customFunctionIds>
        <we:customFunctionIds>_xldudf_STAT_DETREND</we:customFunctionIds>
        <we:customFunctionIds>_xldudf_STAT_DIRICHLET</we:customFunctionIds>
        <we:customFunctionIds>_xldudf_STAT_DIRICHLET_MULTINOM</we:customFunctionIds>
        <we:customFunctionIds>_xldudf_STAT_DISTANCE_CORR</we:customFunctionIds>
        <we:customFunctionIds>_xldudf_STAT_DLAPLACE</we:customFunctionIds>
        <we:customFunctionIds>_xldudf_STAT_DM_CRED_INT</we:customFunctionIds>
        <we:customFunctionIds>_xldudf_STAT_DM_DIRICHLET_SUM</we:customFunctionIds>
        <we:customFunctionIds>_xldudf_STAT_DM_LOGBETA</we:customFunctionIds>
        <we:customFunctionIds>_xldudf_STAT_DM_LOGSUM_NORM</we:customFunctionIds>
        <we:customFunctionIds>_xldudf_STAT_DM_POST_UPDATE</we:customFunctionIds>
        <we:customFunctionIds>_xldudf_STAT_DM_PREDICTIVE</we:customFunctionIds>
        <we:customFunctionIds>_xldudf_STAT_DUNNETT</we:customFunctionIds>
        <we:customFunctionIds>_xldudf_STAT_EMA_LFILTER</we:customFunctionIds>
        <we:customFunctionIds>_xldudf_STAT_EMA_PERIOD</we:customFunctionIds>
        <we:customFunctionIds>_xldudf_STAT_EPPS_SINGLE_2SAMP</we:customFunctionIds>
        <we:customFunctionIds>_xldudf_STAT_EXP_SURVIVAL_REG</we:customFunctionIds>
        <we:customFunctionIds>_xldudf_STAT_EXPECTILE</we:customFunctionIds>
        <we:customFunctionIds>_xldudf_STAT_EXPON</we:customFunctionIds>
        <we:customFunctionIds>_xldudf_STAT_F_DIST</we:customFunctionIds>
        <we:customFunctionIds>_xldudf_STAT_F_ONEWAY</we:customFunctionIds>
        <we:customFunctionIds>_xldudf_STAT_FACTOR_ANALYSIS</we:customFunctionIds>
        <we:customFunctionIds>_xldudf_STAT_FISHER_EXACT</we:customFunctionIds>
        <we:customFunctionIds>_xldudf_STAT_FLIGNER</we:customFunctionIds>
        <we:customFunctionIds>_xldudf_STAT_FRIEDMANCHISQUARE</we:customFunctionIds>
        <we:customFunctionIds>_xldudf_STAT_GAMESHOWELL</we:customFunctionIds>
        <we:customFunctionIds>_xldudf_STAT_GAMMA_CI_BOUNDS</we:customFunctionIds>
        <we:customFunctionIds>_xldudf_STAT_GAMMA_POST_Q</we:customFunctionIds>
        <we:customFunctionIds>_xldudf_STAT_GEE_MODEL</we:customFunctionIds>
        <we:customFunctionIds>_xldudf_STAT_GEOM</we:customFunctionIds>
        <we:customFunctionIds>_xldudf_STAT_GLM_BINOMIAL</we:customFunctionIds>
        <we:customFunctionIds>_xldudf_STAT_GLM_GAMMA</we:customFunctionIds>
        <we:customFunctionIds>_xldudf_STAT_GLM_INV_GAUSS</we:customFunctionIds>
        <we:customFunctionIds>_xldudf_STAT_GLM_NEG_BINOM</we:customFunctionIds>
        <we:customFunctionIds>_xldudf_STAT_GLM_POISSON</we:customFunctionIds>
        <we:customFunctionIds>_xldudf_STAT_GLM_TWEEDIE</we:customFunctionIds>
        <we:customFunctionIds>_xldudf_STAT_GLMM_BINOMIAL</we:customFunctionIds>
        <we:customFunctionIds>_xldudf_STAT_GLMM_POISSON</we:customFunctionIds>
        <we:customFunctionIds>_xldudf_STAT_GLS_REGRESSION</we:customFunctionIds>
        <we:customFunctionIds>_xldudf_STAT_GMEAN</we:customFunctionIds>
        <we:customFunctionIds>_xldudf_STAT_HANNAN_RISSANEN</we:customFunctionIds>
        <we:customFunctionIds>_xldudf_STAT_HMEAN</we:customFunctionIds>
        <we:customFunctionIds>_xldudf_STAT_HOLT_FORECAST</we:customFunctionIds>
        <we:customFunctionIds>_xldudf_STAT_HOMOSCEDASTICITY</we:customFunctionIds>
        <we:customFunctionIds>_xldudf_STAT_HURDLE_COUNT_MODEL</we:customFunctionIds>
        <we:customFunctionIds>_xldudf_STAT_HW_FORECAST</we:customFunctionIds>
        <we:customFunctionIds>_xldudf_STAT_HYPERGEOM</we:customFunctionIds>
        <we:customFunctionIds>_xldudf_STAT_INFLUENCE_DIAG</we:customFunctionIds>
        <we:customFunctionIds>_xldudf_STAT_INNOVATIONS_MLE</we:customFunctionIds>
        <we:customFunctionIds>_xldudf_STAT_INVGAMMA_CI_BOUNDS</we:customFunctionIds>
        <we:customFunctionIds>_xldudf_STAT_INVGAMMA_POST_Q</we:customFunctionIds>
        <we:customFunctionIds>_xldudf_STAT_JARQUE_BERA</we:customFunctionIds>
        <we:customFunctionIds>_xldudf_STAT_KAPLAN_MEIER</we:customFunctionIds>
        <we:customFunctionIds>_xldudf_STAT_KENDALLTAU</we:customFunctionIds>
        <we:customFunctionIds>_xldudf_STAT_KPSS</we:customFunctionIds>
        <we:customFunctionIds>_xldudf_STAT_KRUSKAL</we:customFunctionIds>
        <we:customFunctionIds>_xldudf_STAT_KS_2SAMP</we:customFunctionIds>
        <we:customFunctionIds>_xldudf_STAT_KSTEST</we:customFunctionIds>
        <we:customFunctionIds>_xldudf_STAT_KURTOSIS</we:customFunctionIds>
        <we:customFunctionIds>_xldudf_STAT_KURTOSISTEST</we:customFunctionIds>
        <we:customFunctionIds>_xldudf_STAT_LAPLACE</we:customFunctionIds>
        <we:customFunctionIds>_xldudf_STAT_LEVENE</we:customFunctionIds>
        <we:customFunctionIds>_xldudf_STAT_LINREGRESS</we:customFunctionIds>
        <we:customFunctionIds>_xldudf_STAT_LOGIT_MODEL</we:customFunctionIds>
        <we:customFunctionIds>_xldudf_STAT_LOGNORM</we:customFunctionIds>
        <we:customFunctionIds>_xldudf_STAT_LOGSER</we:customFunctionIds>
        <we:customFunctionIds>_xldudf_STAT_MANNWHITNEYU</we:customFunctionIds>
        <we:customFunctionIds>_xldudf_STAT_MANOVA_TEST</we:customFunctionIds>
        <we:customFunctionIds>_xldudf_STAT_MATRIX_NORMAL</we:customFunctionIds>
        <we:customFunctionIds>_xldudf_STAT_MEDIAN_TEST</we:customFunctionIds>
        <we:customFunctionIds>_xldudf_STAT_MEDIATION_ANALYSIS</we:customFunctionIds>
        <we:customFunctionIds>_xldudf_STAT_MIXED_ANOVA</we:customFunctionIds>
        <we:customFunctionIds>_xldudf_STAT_MIXED_LINEAR_MODEL</we:customFunctionIds>
        <we:customFunctionIds>_xldudf_STAT_MODE</we:customFunctionIds>
        <we:customFunctionIds>_xldudf_STAT_MOMENT</we:customFunctionIds>
        <we:customFunctionIds>_xldudf_STAT_MOOD</we:customFunctionIds>
        <we:customFunctionIds>_xldudf_STAT_MSTL</we:customFunctionIds>
        <we:customFunctionIds>_xldudf_STAT_MULTINOMIAL</we:customFunctionIds>
        <we:customFunctionIds>_xldudf_STAT_MULTINOMIAL_LOGIT</we:customFunctionIds>
        <we:customFunctionIds>_xldudf_STAT_MULTISCALE_GRAPH</we:customFunctionIds>
        <we:customFunctionIds>_xldudf_STAT_MULTIVARIATE_NORMAL</we:customFunctionIds>
        <we:customFunctionIds>_xldudf_STAT_MULTIVARIATE_T</we:customFunctionIds>
        <we:customFunctionIds>_xldudf_STAT_MV_HYPERGEOM</we:customFunctionIds>
        <we:customFunctionIds>_xldudf_STAT_MVSDIST_CI</we:customFunctionIds>
        <we:customFunctionIds>_xldudf_STAT_NBINOM</we:customFunctionIds>
        <we:customFunctionIds>_xldudf_STAT_NHYPERGEOM</we:customFunctionIds>
        <we:customFunctionIds>_xldudf_STAT_NIG_POST_UPDATE</we:customFunctionIds>
        <we:customFunctionIds>_xldudf_STAT_NN_POST_UPDATE</we:customFunctionIds>
        <we:customFunctionIds>_xldudf_STAT_NORM</we:customFunctionIds>
        <we:customFunctionIds>_xldudf_STAT_NORMALITY</we:customFunctionIds>
        <we:customFunctionIds>_xldudf_STAT_NORMALTEST</we:customFunctionIds>
        <we:customFunctionIds>_xldudf_STAT_OLS_DIAGNOSTICS</we:customFunctionIds>
        <we:customFunctionIds>_xldudf_STAT_OLS_REGRESSION</we:customFunctionIds>
        <we:customFunctionIds>_xldudf_STAT_ORDERED_LOGIT</we:customFunctionIds>
        <we:customFunctionIds>_xldudf_STAT_ORTHO_GROUP</we:customFunctionIds>
        <we:customFunctionIds>_xldudf_STAT_PACF</we:customFunctionIds>
        <we:customFunctionIds>_xldudf_STAT_PAGE_TREND_TEST</we:customFunctionIds>
        <we:customFunctionIds>_xldudf_STAT_PAIRWISE_TUKEY</we:customFunctionIds>
        <we:customFunctionIds>_xldudf_STAT_PARETO</we:customFunctionIds>
        <we:customFunctionIds>_xldudf_STAT_PARTIAL_CORR</we:customFunctionIds>
        <we:customFunctionIds>_xldudf_STAT_PCA_ANALYSIS</we:customFunctionIds>
        <we:customFunctionIds>_xldudf_STAT_PEARSONR</we:customFunctionIds>
        <we:customFunctionIds>_xldudf_STAT_PERCENTILEOFSCORE</we:customFunctionIds>
        <we:customFunctionIds>_xldudf_STAT_PERIODOGRAM</we:customFunctionIds>
        <we:customFunctionIds>_xldudf_STAT_PLANCK</we:customFunctionIds>
        <we:customFunctionIds>_xldudf_STAT_PMEAN</we:customFunctionIds>
        <we:customFunctionIds>_xldudf_STAT_POINTBISERIALR</we:customFunctionIds>
        <we:customFunctionIds>_xldudf_STAT_POISSON_DIST</we:customFunctionIds>
        <we:customFunctionIds>_xldudf_STAT_POISSON_MEANS_TEST</we:customFunctionIds>
        <we:customFunctionIds>_xldudf_STAT_POSTERIOR_BMV</we:customFunctionIds>
        <we:customFunctionIds>_xldudf_STAT_POSTERIOR_ENTROPY</we:customFunctionIds>
        <we:customFunctionIds>_xldudf_STAT_POSTERIOR_LOGSUMEXP</we:customFunctionIds>
        <we:customFunctionIds>_xldudf_STAT_POSTERIOR_MAP</we:customFunctionIds>
        <we:customFunctionIds>_xldudf_STAT_POSTERIOR_TAILPROB</we:customFunctionIds>
        <we:customFunctionIds>_xldudf_STAT_POSTERIOR_WMEANVAR</we:customFunctionIds>
        <we:customFunctionIds>_xldudf_STAT_POSTERIOR_XLOGY</we:customFunctionIds>
        <we:customFunctionIds>_xldudf_STAT_PROBIT_MODEL</we:customFunctionIds>
        <we:customFunctionIds>_xldudf_STAT_Q_STAT</we:customFunctionIds>
        <we:customFunctionIds>_xldudf_STAT_QUANTILE_REGRESSION</we:customFunctionIds>
        <we:customFunctionIds>_xldudf_STAT_QUANTILE_TEST</we:customFunctionIds>
        <we:customFunctionIds>_xldudf_STAT_RANDINT</we:customFunctionIds>
        <we:customFunctionIds>_xldudf_STAT_RANDOM_CORRELATION</we:customFunctionIds>
        <we:customFunctionIds>_xldudf_STAT_RANKSUMS</we:customFunctionIds>
        <we:customFunctionIds>_xldudf_STAT_REGRESS_DIAG</we:customFunctionIds>
        <we:customFunctionIds>_xldudf_STAT_RELFREQ</we:customFunctionIds>
        <we:customFunctionIds>_xldudf_STAT_RM_ANOVA</we:customFunctionIds>
        <we:customFunctionIds>_xldudf_STAT_ROBUST_LINEAR_MODEL</we:customFunctionIds>
        <we:customFunctionIds>_xldudf_STAT_RURTEST</we:customFunctionIds>
        <we:customFunctionIds>_xldudf_STAT_SAMPLE_EQTAIL_CI</we:customFunctionIds>
        <we:customFunctionIds>_xldudf_STAT_SAMPLE_HPD_CI</we:customFunctionIds>
        <we:customFunctionIds>_xldudf_STAT_SARIMAX_FORECAST</we:customFunctionIds>
        <we:customFunctionIds>_xldudf_STAT_SCOREATPERCENTILE</we:customFunctionIds>
        <we:customFunctionIds>_xldudf_STAT_SEASDECOMP</we:customFunctionIds>
        <we:customFunctionIds>_xldudf_STAT_SES_FORECAST</we:customFunctionIds>
        <we:customFunctionIds>_xldudf_STAT_SHAPIRO</we:customFunctionIds>
        <we:customFunctionIds>_xldudf_STAT_SIEGELSLOPES</we:customFunctionIds>
        <we:customFunctionIds>_xldudf_STAT_SKELLAM</we:customFunctionIds>
        <we:customFunctionIds>_xldudf_STAT_SKEWNESS</we:customFunctionIds>
        <we:customFunctionIds>_xldudf_STAT_SKEWTEST</we:customFunctionIds>
        <we:customFunctionIds>_xldudf_STAT_SMA_CONV</we:customFunctionIds>
        <we:customFunctionIds>_xldudf_STAT_SMA_CUMSUM</we:customFunctionIds>
        <we:customFunctionIds>_xldudf_STAT_SOMERSD</we:customFunctionIds>
        <we:customFunctionIds>_xldudf_STAT_SPEARMANR</we:customFunctionIds>
        <we:customFunctionIds>_xldudf_STAT_SPECIAL_ORTHO_GROUP</we:customFunctionIds>
        <we:customFunctionIds>_xldudf_STAT_SPECIFICATION_TESTS</we:customFunctionIds>
        <we:customFunctionIds>_xldudf_STAT_STL</we:customFunctionIds>
        <we:customFunctionIds>_xldudf_STAT_T_DIST</we:customFunctionIds>
        <we:customFunctionIds>_xldudf_STAT_THEILSLOPES</we:customFunctionIds>
        <we:customFunctionIds>_xldudf_STAT_TTEST_1SAMP</we:customFunctionIds>
        <we:customFunctionIds>_xldudf_STAT_TTEST_IND</we:customFunctionIds>
        <we:customFunctionIds>_xldudf_STAT_TTEST_IND_STATS</we:customFunctionIds>
        <we:customFunctionIds>_xldudf_STAT_UNIFORM</we:customFunctionIds>
        <we:customFunctionIds>_xldudf_STAT_UNIFORM_DIRECTION</we:customFunctionIds>
        <we:customFunctionIds>_xldudf_STAT_UNITARY_GROUP</we:customFunctionIds>
        <we:customFunctionIds>_xldudf_STAT_VAL_DISCRETE</we:customFunctionIds>
        <we:customFunctionIds>_xldudf_STAT_VONMISES_FISHER</we:customFunctionIds>
        <we:customFunctionIds>_xldudf_STAT_WEIBULL_MIN</we:customFunctionIds>
        <we:customFunctionIds>_xldudf_STAT_WEIGHTEDTAU</we:customFunctionIds>
        <we:customFunctionIds>_xldudf_STAT_WELCH</we:customFunctionIds>
        <we:customFunctionIds>_xldudf_STAT_WELCH_ANOVA</we:customFunctionIds>
        <we:customFunctionIds>_xldudf_STAT_WINMA_CONV</we:customFunctionIds>
        <we:customFunctionIds>_xldudf_STAT_WISHART</we:customFunctionIds>
        <we:customFunctionIds>_xldudf_STAT_WLS_REGRESSION</we:customFunctionIds>
        <we:customFunctionIds>_xldudf_STAT_WMA</we:customFunctionIds>
        <we:customFunctionIds>_xldudf_STAT_YULESIMON</we:customFunctionIds>
        <we:customFunctionIds>_xldudf_STAT_ZINB_MODEL</we:customFunctionIds>
        <we:customFunctionIds>_xldudf_STAT_ZIP_MODEL</we:customFunctionIds>
        <we:customFunctionIds>_xldudf_STAT_ZIPF</we:customFunctionIds>
        <we:customFunctionIds>_xldudf_STAT_ZIPFIAN</we:customFunctionIds>
        <we:customFunctionIds>_xldudf_STAT_ZIVOT_ANDREWS</we:customFunctionIds>
      </we:customFunctionIdList>
    </a:ext>
  </we:extLst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table" Target="../tables/table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5.xml"/><Relationship Id="rId2" Type="http://schemas.openxmlformats.org/officeDocument/2006/relationships/pivotTable" Target="../pivotTables/pivotTable4.xml"/><Relationship Id="rId1" Type="http://schemas.openxmlformats.org/officeDocument/2006/relationships/pivotTable" Target="../pivotTables/pivotTable3.xml"/><Relationship Id="rId5" Type="http://schemas.openxmlformats.org/officeDocument/2006/relationships/drawing" Target="../drawings/drawing1.xml"/><Relationship Id="rId4" Type="http://schemas.openxmlformats.org/officeDocument/2006/relationships/pivotTable" Target="../pivotTables/pivotTable6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556B70-99FB-4303-A308-746B85FC75F5}">
  <dimension ref="A1:I201"/>
  <sheetViews>
    <sheetView topLeftCell="B1" zoomScale="161" workbookViewId="0">
      <selection activeCell="E8" sqref="E8"/>
    </sheetView>
  </sheetViews>
  <sheetFormatPr defaultRowHeight="14.4" x14ac:dyDescent="0.3"/>
  <cols>
    <col min="1" max="1" width="14.109375" bestFit="1" customWidth="1"/>
    <col min="2" max="2" width="17.44140625" bestFit="1" customWidth="1"/>
    <col min="3" max="3" width="9" bestFit="1" customWidth="1"/>
    <col min="4" max="4" width="18.5546875" bestFit="1" customWidth="1"/>
    <col min="5" max="5" width="9.21875" bestFit="1" customWidth="1"/>
    <col min="6" max="7" width="10.5546875" bestFit="1" customWidth="1"/>
    <col min="8" max="8" width="12.88671875" bestFit="1" customWidth="1"/>
    <col min="9" max="9" width="7.88671875" bestFit="1" customWidth="1"/>
  </cols>
  <sheetData>
    <row r="1" spans="1:9" x14ac:dyDescent="0.3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5" t="s">
        <v>8</v>
      </c>
    </row>
    <row r="2" spans="1:9" x14ac:dyDescent="0.3">
      <c r="A2" s="2" t="s">
        <v>9</v>
      </c>
      <c r="B2" s="2" t="s">
        <v>10</v>
      </c>
      <c r="C2" s="2" t="s">
        <v>11</v>
      </c>
      <c r="D2" s="2" t="s">
        <v>12</v>
      </c>
      <c r="E2" s="20">
        <v>1036.0899999999999</v>
      </c>
      <c r="F2" s="6">
        <v>4</v>
      </c>
      <c r="G2" s="8">
        <v>0.2</v>
      </c>
      <c r="H2" s="7">
        <v>45392</v>
      </c>
      <c r="I2" s="25">
        <v>331.55</v>
      </c>
    </row>
    <row r="3" spans="1:9" x14ac:dyDescent="0.3">
      <c r="A3" s="2" t="s">
        <v>13</v>
      </c>
      <c r="B3" s="2" t="s">
        <v>14</v>
      </c>
      <c r="C3" s="2" t="s">
        <v>11</v>
      </c>
      <c r="D3" s="2" t="s">
        <v>15</v>
      </c>
      <c r="E3" s="20">
        <v>1101.28</v>
      </c>
      <c r="F3" s="6">
        <v>3</v>
      </c>
      <c r="G3" s="8">
        <v>0.2</v>
      </c>
      <c r="H3" s="7">
        <v>45393</v>
      </c>
      <c r="I3" s="25">
        <v>440.51</v>
      </c>
    </row>
    <row r="4" spans="1:9" x14ac:dyDescent="0.3">
      <c r="A4" s="2" t="s">
        <v>16</v>
      </c>
      <c r="B4" s="2" t="s">
        <v>17</v>
      </c>
      <c r="C4" s="2" t="s">
        <v>18</v>
      </c>
      <c r="D4" s="2" t="s">
        <v>12</v>
      </c>
      <c r="E4" s="20">
        <v>713.34</v>
      </c>
      <c r="F4" s="6">
        <v>17</v>
      </c>
      <c r="G4" s="8">
        <v>0</v>
      </c>
      <c r="H4" s="7">
        <v>45396</v>
      </c>
      <c r="I4" s="25">
        <v>285.33999999999997</v>
      </c>
    </row>
    <row r="5" spans="1:9" x14ac:dyDescent="0.3">
      <c r="A5" s="2" t="s">
        <v>19</v>
      </c>
      <c r="B5" s="2" t="s">
        <v>14</v>
      </c>
      <c r="C5" s="2" t="s">
        <v>20</v>
      </c>
      <c r="D5" s="2" t="s">
        <v>21</v>
      </c>
      <c r="E5" s="20">
        <v>760.93</v>
      </c>
      <c r="F5" s="6">
        <v>4</v>
      </c>
      <c r="G5" s="8">
        <v>0.15</v>
      </c>
      <c r="H5" s="7">
        <v>45396</v>
      </c>
      <c r="I5" s="25">
        <v>161.69999999999999</v>
      </c>
    </row>
    <row r="6" spans="1:9" x14ac:dyDescent="0.3">
      <c r="A6" s="2" t="s">
        <v>22</v>
      </c>
      <c r="B6" s="2" t="s">
        <v>23</v>
      </c>
      <c r="C6" s="2" t="s">
        <v>24</v>
      </c>
      <c r="D6" s="2" t="s">
        <v>12</v>
      </c>
      <c r="E6" s="20">
        <v>847</v>
      </c>
      <c r="F6" s="6">
        <v>12</v>
      </c>
      <c r="G6" s="8">
        <v>0.2</v>
      </c>
      <c r="H6" s="7">
        <v>45397</v>
      </c>
      <c r="I6" s="25">
        <v>271.04000000000002</v>
      </c>
    </row>
    <row r="7" spans="1:9" x14ac:dyDescent="0.3">
      <c r="A7" s="2" t="s">
        <v>25</v>
      </c>
      <c r="B7" s="2" t="s">
        <v>26</v>
      </c>
      <c r="C7" s="2" t="s">
        <v>24</v>
      </c>
      <c r="D7" s="2" t="s">
        <v>27</v>
      </c>
      <c r="E7" s="20">
        <v>965.64</v>
      </c>
      <c r="F7" s="6">
        <v>8</v>
      </c>
      <c r="G7" s="8">
        <v>0.1</v>
      </c>
      <c r="H7" s="7">
        <v>45398</v>
      </c>
      <c r="I7" s="25">
        <v>304.18</v>
      </c>
    </row>
    <row r="8" spans="1:9" x14ac:dyDescent="0.3">
      <c r="A8" s="2" t="s">
        <v>28</v>
      </c>
      <c r="B8" s="2" t="s">
        <v>29</v>
      </c>
      <c r="C8" s="2" t="s">
        <v>11</v>
      </c>
      <c r="D8" s="2" t="s">
        <v>21</v>
      </c>
      <c r="E8" s="20">
        <v>1317.53</v>
      </c>
      <c r="F8" s="6">
        <v>12</v>
      </c>
      <c r="G8" s="8">
        <v>0.05</v>
      </c>
      <c r="H8" s="7">
        <v>45398</v>
      </c>
      <c r="I8" s="25">
        <v>312.91000000000003</v>
      </c>
    </row>
    <row r="9" spans="1:9" x14ac:dyDescent="0.3">
      <c r="A9" s="2" t="s">
        <v>30</v>
      </c>
      <c r="B9" s="2" t="s">
        <v>31</v>
      </c>
      <c r="C9" s="2" t="s">
        <v>18</v>
      </c>
      <c r="D9" s="2" t="s">
        <v>27</v>
      </c>
      <c r="E9" s="20">
        <v>1074.47</v>
      </c>
      <c r="F9" s="6">
        <v>6</v>
      </c>
      <c r="G9" s="8">
        <v>0.2</v>
      </c>
      <c r="H9" s="7">
        <v>45401</v>
      </c>
      <c r="I9" s="25">
        <v>300.85000000000002</v>
      </c>
    </row>
    <row r="10" spans="1:9" x14ac:dyDescent="0.3">
      <c r="A10" s="2" t="s">
        <v>32</v>
      </c>
      <c r="B10" s="2" t="s">
        <v>33</v>
      </c>
      <c r="C10" s="2" t="s">
        <v>34</v>
      </c>
      <c r="D10" s="2" t="s">
        <v>12</v>
      </c>
      <c r="E10" s="20">
        <v>501.54</v>
      </c>
      <c r="F10" s="6">
        <v>11</v>
      </c>
      <c r="G10" s="8">
        <v>0.05</v>
      </c>
      <c r="H10" s="7">
        <v>45401</v>
      </c>
      <c r="I10" s="25">
        <v>190.59</v>
      </c>
    </row>
    <row r="11" spans="1:9" x14ac:dyDescent="0.3">
      <c r="A11" s="2" t="s">
        <v>35</v>
      </c>
      <c r="B11" s="2" t="s">
        <v>36</v>
      </c>
      <c r="C11" s="2" t="s">
        <v>34</v>
      </c>
      <c r="D11" s="2" t="s">
        <v>15</v>
      </c>
      <c r="E11" s="20">
        <v>737.31</v>
      </c>
      <c r="F11" s="6">
        <v>2</v>
      </c>
      <c r="G11" s="8">
        <v>0.05</v>
      </c>
      <c r="H11" s="7">
        <v>45401</v>
      </c>
      <c r="I11" s="25">
        <v>350.22</v>
      </c>
    </row>
    <row r="12" spans="1:9" x14ac:dyDescent="0.3">
      <c r="A12" s="2" t="s">
        <v>37</v>
      </c>
      <c r="B12" s="2" t="s">
        <v>38</v>
      </c>
      <c r="C12" s="2" t="s">
        <v>11</v>
      </c>
      <c r="D12" s="2" t="s">
        <v>39</v>
      </c>
      <c r="E12" s="20">
        <v>1572.82</v>
      </c>
      <c r="F12" s="6">
        <v>6</v>
      </c>
      <c r="G12" s="8">
        <v>0.05</v>
      </c>
      <c r="H12" s="7">
        <v>45402</v>
      </c>
      <c r="I12" s="25">
        <v>672.38</v>
      </c>
    </row>
    <row r="13" spans="1:9" x14ac:dyDescent="0.3">
      <c r="A13" s="2" t="s">
        <v>37</v>
      </c>
      <c r="B13" s="2" t="s">
        <v>36</v>
      </c>
      <c r="C13" s="2" t="s">
        <v>34</v>
      </c>
      <c r="D13" s="2" t="s">
        <v>12</v>
      </c>
      <c r="E13" s="20">
        <v>1343.13</v>
      </c>
      <c r="F13" s="6">
        <v>14</v>
      </c>
      <c r="G13" s="8">
        <v>0.15</v>
      </c>
      <c r="H13" s="7">
        <v>45404</v>
      </c>
      <c r="I13" s="25">
        <v>456.66</v>
      </c>
    </row>
    <row r="14" spans="1:9" x14ac:dyDescent="0.3">
      <c r="A14" s="2" t="s">
        <v>25</v>
      </c>
      <c r="B14" s="2" t="s">
        <v>26</v>
      </c>
      <c r="C14" s="2" t="s">
        <v>34</v>
      </c>
      <c r="D14" s="2" t="s">
        <v>12</v>
      </c>
      <c r="E14" s="20">
        <v>1191.58</v>
      </c>
      <c r="F14" s="6">
        <v>14</v>
      </c>
      <c r="G14" s="8">
        <v>0.05</v>
      </c>
      <c r="H14" s="7">
        <v>45406</v>
      </c>
      <c r="I14" s="25">
        <v>452.8</v>
      </c>
    </row>
    <row r="15" spans="1:9" x14ac:dyDescent="0.3">
      <c r="A15" s="2" t="s">
        <v>40</v>
      </c>
      <c r="B15" s="2" t="s">
        <v>14</v>
      </c>
      <c r="C15" s="2" t="s">
        <v>11</v>
      </c>
      <c r="D15" s="2" t="s">
        <v>27</v>
      </c>
      <c r="E15" s="20">
        <v>822.28</v>
      </c>
      <c r="F15" s="6">
        <v>7</v>
      </c>
      <c r="G15" s="8">
        <v>0.05</v>
      </c>
      <c r="H15" s="7">
        <v>45406</v>
      </c>
      <c r="I15" s="25">
        <v>273.41000000000003</v>
      </c>
    </row>
    <row r="16" spans="1:9" x14ac:dyDescent="0.3">
      <c r="A16" s="2" t="s">
        <v>41</v>
      </c>
      <c r="B16" s="2" t="s">
        <v>42</v>
      </c>
      <c r="C16" s="2" t="s">
        <v>24</v>
      </c>
      <c r="D16" s="2" t="s">
        <v>27</v>
      </c>
      <c r="E16" s="20">
        <v>521.66999999999996</v>
      </c>
      <c r="F16" s="6">
        <v>15</v>
      </c>
      <c r="G16" s="8">
        <v>0.15</v>
      </c>
      <c r="H16" s="7">
        <v>45409</v>
      </c>
      <c r="I16" s="25">
        <v>155.19999999999999</v>
      </c>
    </row>
    <row r="17" spans="1:9" x14ac:dyDescent="0.3">
      <c r="A17" s="2" t="s">
        <v>19</v>
      </c>
      <c r="B17" s="2" t="s">
        <v>43</v>
      </c>
      <c r="C17" s="2" t="s">
        <v>20</v>
      </c>
      <c r="D17" s="2" t="s">
        <v>21</v>
      </c>
      <c r="E17" s="20">
        <v>1502.93</v>
      </c>
      <c r="F17" s="6">
        <v>14</v>
      </c>
      <c r="G17" s="8">
        <v>0.2</v>
      </c>
      <c r="H17" s="7">
        <v>45410</v>
      </c>
      <c r="I17" s="25">
        <v>300.58999999999997</v>
      </c>
    </row>
    <row r="18" spans="1:9" x14ac:dyDescent="0.3">
      <c r="A18" s="2" t="s">
        <v>44</v>
      </c>
      <c r="B18" s="2" t="s">
        <v>14</v>
      </c>
      <c r="C18" s="2" t="s">
        <v>20</v>
      </c>
      <c r="D18" s="2" t="s">
        <v>12</v>
      </c>
      <c r="E18" s="20">
        <v>877.58</v>
      </c>
      <c r="F18" s="6">
        <v>10</v>
      </c>
      <c r="G18" s="8">
        <v>0.15</v>
      </c>
      <c r="H18" s="7">
        <v>45411</v>
      </c>
      <c r="I18" s="25">
        <v>298.38</v>
      </c>
    </row>
    <row r="19" spans="1:9" x14ac:dyDescent="0.3">
      <c r="A19" s="2" t="s">
        <v>28</v>
      </c>
      <c r="B19" s="2" t="s">
        <v>45</v>
      </c>
      <c r="C19" s="2" t="s">
        <v>11</v>
      </c>
      <c r="D19" s="2" t="s">
        <v>12</v>
      </c>
      <c r="E19" s="20">
        <v>636.70000000000005</v>
      </c>
      <c r="F19" s="6">
        <v>4</v>
      </c>
      <c r="G19" s="8">
        <v>0.2</v>
      </c>
      <c r="H19" s="7">
        <v>45411</v>
      </c>
      <c r="I19" s="25">
        <v>203.74</v>
      </c>
    </row>
    <row r="20" spans="1:9" x14ac:dyDescent="0.3">
      <c r="A20" s="2" t="s">
        <v>46</v>
      </c>
      <c r="B20" s="2" t="s">
        <v>47</v>
      </c>
      <c r="C20" s="2" t="s">
        <v>11</v>
      </c>
      <c r="D20" s="2" t="s">
        <v>12</v>
      </c>
      <c r="E20" s="20">
        <v>1506.14</v>
      </c>
      <c r="F20" s="6">
        <v>13</v>
      </c>
      <c r="G20" s="8">
        <v>0.2</v>
      </c>
      <c r="H20" s="7">
        <v>45412</v>
      </c>
      <c r="I20" s="25">
        <v>481.96</v>
      </c>
    </row>
    <row r="21" spans="1:9" x14ac:dyDescent="0.3">
      <c r="A21" s="2" t="s">
        <v>30</v>
      </c>
      <c r="B21" s="2" t="s">
        <v>31</v>
      </c>
      <c r="C21" s="2" t="s">
        <v>34</v>
      </c>
      <c r="D21" s="2" t="s">
        <v>21</v>
      </c>
      <c r="E21" s="20">
        <v>645.02</v>
      </c>
      <c r="F21" s="6">
        <v>4</v>
      </c>
      <c r="G21" s="8">
        <v>0</v>
      </c>
      <c r="H21" s="7">
        <v>45414</v>
      </c>
      <c r="I21" s="25">
        <v>161.26</v>
      </c>
    </row>
    <row r="22" spans="1:9" x14ac:dyDescent="0.3">
      <c r="A22" s="2" t="s">
        <v>25</v>
      </c>
      <c r="B22" s="2" t="s">
        <v>48</v>
      </c>
      <c r="C22" s="2" t="s">
        <v>20</v>
      </c>
      <c r="D22" s="2" t="s">
        <v>15</v>
      </c>
      <c r="E22" s="20">
        <v>953.3</v>
      </c>
      <c r="F22" s="6">
        <v>11</v>
      </c>
      <c r="G22" s="8">
        <v>0</v>
      </c>
      <c r="H22" s="7">
        <v>45415</v>
      </c>
      <c r="I22" s="25">
        <v>476.65</v>
      </c>
    </row>
    <row r="23" spans="1:9" x14ac:dyDescent="0.3">
      <c r="A23" s="2" t="s">
        <v>49</v>
      </c>
      <c r="B23" s="2" t="s">
        <v>14</v>
      </c>
      <c r="C23" s="2" t="s">
        <v>24</v>
      </c>
      <c r="D23" s="2" t="s">
        <v>21</v>
      </c>
      <c r="E23" s="20">
        <v>388.56</v>
      </c>
      <c r="F23" s="6">
        <v>14</v>
      </c>
      <c r="G23" s="8">
        <v>0.15</v>
      </c>
      <c r="H23" s="7">
        <v>45416</v>
      </c>
      <c r="I23" s="25">
        <v>82.57</v>
      </c>
    </row>
    <row r="24" spans="1:9" x14ac:dyDescent="0.3">
      <c r="A24" s="2" t="s">
        <v>9</v>
      </c>
      <c r="B24" s="2" t="s">
        <v>31</v>
      </c>
      <c r="C24" s="2" t="s">
        <v>11</v>
      </c>
      <c r="D24" s="2" t="s">
        <v>12</v>
      </c>
      <c r="E24" s="20">
        <v>743.17</v>
      </c>
      <c r="F24" s="6">
        <v>9</v>
      </c>
      <c r="G24" s="8">
        <v>0</v>
      </c>
      <c r="H24" s="7">
        <v>45416</v>
      </c>
      <c r="I24" s="25">
        <v>297.27</v>
      </c>
    </row>
    <row r="25" spans="1:9" x14ac:dyDescent="0.3">
      <c r="A25" s="2" t="s">
        <v>40</v>
      </c>
      <c r="B25" s="2" t="s">
        <v>31</v>
      </c>
      <c r="C25" s="2" t="s">
        <v>34</v>
      </c>
      <c r="D25" s="2" t="s">
        <v>21</v>
      </c>
      <c r="E25" s="20">
        <v>706.37</v>
      </c>
      <c r="F25" s="6">
        <v>6</v>
      </c>
      <c r="G25" s="8">
        <v>0</v>
      </c>
      <c r="H25" s="7">
        <v>45416</v>
      </c>
      <c r="I25" s="25">
        <v>176.59</v>
      </c>
    </row>
    <row r="26" spans="1:9" x14ac:dyDescent="0.3">
      <c r="A26" s="2" t="s">
        <v>13</v>
      </c>
      <c r="B26" s="2" t="s">
        <v>31</v>
      </c>
      <c r="C26" s="2" t="s">
        <v>34</v>
      </c>
      <c r="D26" s="2" t="s">
        <v>39</v>
      </c>
      <c r="E26" s="20">
        <v>925.31</v>
      </c>
      <c r="F26" s="6">
        <v>8</v>
      </c>
      <c r="G26" s="8">
        <v>0.1</v>
      </c>
      <c r="H26" s="7">
        <v>45418</v>
      </c>
      <c r="I26" s="25">
        <v>374.75</v>
      </c>
    </row>
    <row r="27" spans="1:9" x14ac:dyDescent="0.3">
      <c r="A27" s="2" t="s">
        <v>35</v>
      </c>
      <c r="B27" s="2" t="s">
        <v>50</v>
      </c>
      <c r="C27" s="2" t="s">
        <v>20</v>
      </c>
      <c r="D27" s="2" t="s">
        <v>21</v>
      </c>
      <c r="E27" s="20">
        <v>1173.1199999999999</v>
      </c>
      <c r="F27" s="6">
        <v>18</v>
      </c>
      <c r="G27" s="8">
        <v>0</v>
      </c>
      <c r="H27" s="7">
        <v>45418</v>
      </c>
      <c r="I27" s="25">
        <v>293.27999999999997</v>
      </c>
    </row>
    <row r="28" spans="1:9" x14ac:dyDescent="0.3">
      <c r="A28" s="2" t="s">
        <v>22</v>
      </c>
      <c r="B28" s="2" t="s">
        <v>51</v>
      </c>
      <c r="C28" s="2" t="s">
        <v>24</v>
      </c>
      <c r="D28" s="2" t="s">
        <v>27</v>
      </c>
      <c r="E28" s="20">
        <v>675.54</v>
      </c>
      <c r="F28" s="6">
        <v>17</v>
      </c>
      <c r="G28" s="8">
        <v>0</v>
      </c>
      <c r="H28" s="7">
        <v>45420</v>
      </c>
      <c r="I28" s="25">
        <v>236.44</v>
      </c>
    </row>
    <row r="29" spans="1:9" x14ac:dyDescent="0.3">
      <c r="A29" s="2" t="s">
        <v>25</v>
      </c>
      <c r="B29" s="2" t="s">
        <v>14</v>
      </c>
      <c r="C29" s="2" t="s">
        <v>34</v>
      </c>
      <c r="D29" s="2" t="s">
        <v>12</v>
      </c>
      <c r="E29" s="20">
        <v>939.09</v>
      </c>
      <c r="F29" s="6">
        <v>2</v>
      </c>
      <c r="G29" s="8">
        <v>0.05</v>
      </c>
      <c r="H29" s="7">
        <v>45422</v>
      </c>
      <c r="I29" s="25">
        <v>356.85</v>
      </c>
    </row>
    <row r="30" spans="1:9" x14ac:dyDescent="0.3">
      <c r="A30" s="2" t="s">
        <v>52</v>
      </c>
      <c r="B30" s="2" t="s">
        <v>53</v>
      </c>
      <c r="C30" s="2" t="s">
        <v>18</v>
      </c>
      <c r="D30" s="2" t="s">
        <v>39</v>
      </c>
      <c r="E30" s="20">
        <v>983.34</v>
      </c>
      <c r="F30" s="6">
        <v>19</v>
      </c>
      <c r="G30" s="8">
        <v>0.1</v>
      </c>
      <c r="H30" s="7">
        <v>45426</v>
      </c>
      <c r="I30" s="25">
        <v>398.25</v>
      </c>
    </row>
    <row r="31" spans="1:9" x14ac:dyDescent="0.3">
      <c r="A31" s="2" t="s">
        <v>52</v>
      </c>
      <c r="B31" s="2" t="s">
        <v>23</v>
      </c>
      <c r="C31" s="2" t="s">
        <v>20</v>
      </c>
      <c r="D31" s="2" t="s">
        <v>21</v>
      </c>
      <c r="E31" s="20">
        <v>801.21</v>
      </c>
      <c r="F31" s="6">
        <v>3</v>
      </c>
      <c r="G31" s="8">
        <v>0.2</v>
      </c>
      <c r="H31" s="7">
        <v>45426</v>
      </c>
      <c r="I31" s="25">
        <v>160.24</v>
      </c>
    </row>
    <row r="32" spans="1:9" x14ac:dyDescent="0.3">
      <c r="A32" s="2" t="s">
        <v>54</v>
      </c>
      <c r="B32" s="2" t="s">
        <v>55</v>
      </c>
      <c r="C32" s="2" t="s">
        <v>24</v>
      </c>
      <c r="D32" s="2" t="s">
        <v>21</v>
      </c>
      <c r="E32" s="20">
        <v>1450.71</v>
      </c>
      <c r="F32" s="6">
        <v>5</v>
      </c>
      <c r="G32" s="8">
        <v>0.1</v>
      </c>
      <c r="H32" s="7">
        <v>45427</v>
      </c>
      <c r="I32" s="25">
        <v>326.41000000000003</v>
      </c>
    </row>
    <row r="33" spans="1:9" x14ac:dyDescent="0.3">
      <c r="A33" s="2" t="s">
        <v>49</v>
      </c>
      <c r="B33" s="2" t="s">
        <v>56</v>
      </c>
      <c r="C33" s="2" t="s">
        <v>34</v>
      </c>
      <c r="D33" s="2" t="s">
        <v>12</v>
      </c>
      <c r="E33" s="20">
        <v>1023.21</v>
      </c>
      <c r="F33" s="6">
        <v>18</v>
      </c>
      <c r="G33" s="8">
        <v>0.05</v>
      </c>
      <c r="H33" s="7">
        <v>45428</v>
      </c>
      <c r="I33" s="25">
        <v>388.82</v>
      </c>
    </row>
    <row r="34" spans="1:9" x14ac:dyDescent="0.3">
      <c r="A34" s="2" t="s">
        <v>28</v>
      </c>
      <c r="B34" s="2" t="s">
        <v>47</v>
      </c>
      <c r="C34" s="2" t="s">
        <v>11</v>
      </c>
      <c r="D34" s="2" t="s">
        <v>27</v>
      </c>
      <c r="E34" s="20">
        <v>853.72</v>
      </c>
      <c r="F34" s="6">
        <v>5</v>
      </c>
      <c r="G34" s="8">
        <v>0.15</v>
      </c>
      <c r="H34" s="7">
        <v>45428</v>
      </c>
      <c r="I34" s="25">
        <v>253.98</v>
      </c>
    </row>
    <row r="35" spans="1:9" x14ac:dyDescent="0.3">
      <c r="A35" s="2" t="s">
        <v>57</v>
      </c>
      <c r="B35" s="2" t="s">
        <v>43</v>
      </c>
      <c r="C35" s="2" t="s">
        <v>20</v>
      </c>
      <c r="D35" s="2" t="s">
        <v>21</v>
      </c>
      <c r="E35" s="20">
        <v>967.89</v>
      </c>
      <c r="F35" s="6">
        <v>10</v>
      </c>
      <c r="G35" s="8">
        <v>0.1</v>
      </c>
      <c r="H35" s="7">
        <v>45429</v>
      </c>
      <c r="I35" s="25">
        <v>217.78</v>
      </c>
    </row>
    <row r="36" spans="1:9" x14ac:dyDescent="0.3">
      <c r="A36" s="2" t="s">
        <v>58</v>
      </c>
      <c r="B36" s="2" t="s">
        <v>53</v>
      </c>
      <c r="C36" s="2" t="s">
        <v>24</v>
      </c>
      <c r="D36" s="2" t="s">
        <v>39</v>
      </c>
      <c r="E36" s="20">
        <v>1200.9000000000001</v>
      </c>
      <c r="F36" s="6">
        <v>14</v>
      </c>
      <c r="G36" s="8">
        <v>0.05</v>
      </c>
      <c r="H36" s="7">
        <v>45429</v>
      </c>
      <c r="I36" s="25">
        <v>513.38</v>
      </c>
    </row>
    <row r="37" spans="1:9" x14ac:dyDescent="0.3">
      <c r="A37" s="2" t="s">
        <v>13</v>
      </c>
      <c r="B37" s="2" t="s">
        <v>26</v>
      </c>
      <c r="C37" s="2" t="s">
        <v>11</v>
      </c>
      <c r="D37" s="2" t="s">
        <v>12</v>
      </c>
      <c r="E37" s="20">
        <v>472.38</v>
      </c>
      <c r="F37" s="6">
        <v>12</v>
      </c>
      <c r="G37" s="8">
        <v>0.2</v>
      </c>
      <c r="H37" s="7">
        <v>45429</v>
      </c>
      <c r="I37" s="25">
        <v>151.16</v>
      </c>
    </row>
    <row r="38" spans="1:9" x14ac:dyDescent="0.3">
      <c r="A38" s="2" t="s">
        <v>9</v>
      </c>
      <c r="B38" s="2" t="s">
        <v>55</v>
      </c>
      <c r="C38" s="2" t="s">
        <v>18</v>
      </c>
      <c r="D38" s="2" t="s">
        <v>39</v>
      </c>
      <c r="E38" s="20">
        <v>840.92</v>
      </c>
      <c r="F38" s="6">
        <v>9</v>
      </c>
      <c r="G38" s="8">
        <v>0.05</v>
      </c>
      <c r="H38" s="7">
        <v>45429</v>
      </c>
      <c r="I38" s="25">
        <v>359.49</v>
      </c>
    </row>
    <row r="39" spans="1:9" x14ac:dyDescent="0.3">
      <c r="A39" s="2" t="s">
        <v>52</v>
      </c>
      <c r="B39" s="2" t="s">
        <v>48</v>
      </c>
      <c r="C39" s="2" t="s">
        <v>34</v>
      </c>
      <c r="D39" s="2" t="s">
        <v>27</v>
      </c>
      <c r="E39" s="20">
        <v>1410.06</v>
      </c>
      <c r="F39" s="6">
        <v>11</v>
      </c>
      <c r="G39" s="8">
        <v>0.05</v>
      </c>
      <c r="H39" s="7">
        <v>45434</v>
      </c>
      <c r="I39" s="25">
        <v>468.84</v>
      </c>
    </row>
    <row r="40" spans="1:9" x14ac:dyDescent="0.3">
      <c r="A40" s="2" t="s">
        <v>44</v>
      </c>
      <c r="B40" s="2" t="s">
        <v>59</v>
      </c>
      <c r="C40" s="2" t="s">
        <v>34</v>
      </c>
      <c r="D40" s="2" t="s">
        <v>27</v>
      </c>
      <c r="E40" s="20">
        <v>773.09</v>
      </c>
      <c r="F40" s="6">
        <v>13</v>
      </c>
      <c r="G40" s="8">
        <v>0.15</v>
      </c>
      <c r="H40" s="7">
        <v>45434</v>
      </c>
      <c r="I40" s="25">
        <v>229.99</v>
      </c>
    </row>
    <row r="41" spans="1:9" x14ac:dyDescent="0.3">
      <c r="A41" s="2" t="s">
        <v>60</v>
      </c>
      <c r="B41" s="2" t="s">
        <v>61</v>
      </c>
      <c r="C41" s="2" t="s">
        <v>18</v>
      </c>
      <c r="D41" s="2" t="s">
        <v>12</v>
      </c>
      <c r="E41" s="20">
        <v>580.42999999999995</v>
      </c>
      <c r="F41" s="6">
        <v>19</v>
      </c>
      <c r="G41" s="8">
        <v>0.15</v>
      </c>
      <c r="H41" s="7">
        <v>45435</v>
      </c>
      <c r="I41" s="25">
        <v>197.35</v>
      </c>
    </row>
    <row r="42" spans="1:9" x14ac:dyDescent="0.3">
      <c r="A42" s="2" t="s">
        <v>19</v>
      </c>
      <c r="B42" s="2" t="s">
        <v>42</v>
      </c>
      <c r="C42" s="2" t="s">
        <v>20</v>
      </c>
      <c r="D42" s="2" t="s">
        <v>12</v>
      </c>
      <c r="E42" s="20">
        <v>1151.21</v>
      </c>
      <c r="F42" s="6">
        <v>15</v>
      </c>
      <c r="G42" s="8">
        <v>0.1</v>
      </c>
      <c r="H42" s="7">
        <v>45445</v>
      </c>
      <c r="I42" s="25">
        <v>414.44</v>
      </c>
    </row>
    <row r="43" spans="1:9" x14ac:dyDescent="0.3">
      <c r="A43" s="2" t="s">
        <v>52</v>
      </c>
      <c r="B43" s="2" t="s">
        <v>23</v>
      </c>
      <c r="C43" s="2" t="s">
        <v>34</v>
      </c>
      <c r="D43" s="2" t="s">
        <v>39</v>
      </c>
      <c r="E43" s="20">
        <v>1025.98</v>
      </c>
      <c r="F43" s="6">
        <v>5</v>
      </c>
      <c r="G43" s="8">
        <v>0.2</v>
      </c>
      <c r="H43" s="7">
        <v>45447</v>
      </c>
      <c r="I43" s="25">
        <v>369.35</v>
      </c>
    </row>
    <row r="44" spans="1:9" x14ac:dyDescent="0.3">
      <c r="A44" s="2" t="s">
        <v>40</v>
      </c>
      <c r="B44" s="2" t="s">
        <v>56</v>
      </c>
      <c r="C44" s="2" t="s">
        <v>18</v>
      </c>
      <c r="D44" s="2" t="s">
        <v>39</v>
      </c>
      <c r="E44" s="20">
        <v>556.41999999999996</v>
      </c>
      <c r="F44" s="6">
        <v>11</v>
      </c>
      <c r="G44" s="8">
        <v>0.15</v>
      </c>
      <c r="H44" s="7">
        <v>45447</v>
      </c>
      <c r="I44" s="25">
        <v>212.83</v>
      </c>
    </row>
    <row r="45" spans="1:9" x14ac:dyDescent="0.3">
      <c r="A45" s="2" t="s">
        <v>57</v>
      </c>
      <c r="B45" s="2" t="s">
        <v>23</v>
      </c>
      <c r="C45" s="2" t="s">
        <v>34</v>
      </c>
      <c r="D45" s="2" t="s">
        <v>12</v>
      </c>
      <c r="E45" s="20">
        <v>840.85</v>
      </c>
      <c r="F45" s="6">
        <v>19</v>
      </c>
      <c r="G45" s="8">
        <v>0.1</v>
      </c>
      <c r="H45" s="7">
        <v>45448</v>
      </c>
      <c r="I45" s="25">
        <v>302.70999999999998</v>
      </c>
    </row>
    <row r="46" spans="1:9" x14ac:dyDescent="0.3">
      <c r="A46" s="2" t="s">
        <v>30</v>
      </c>
      <c r="B46" s="2" t="s">
        <v>61</v>
      </c>
      <c r="C46" s="2" t="s">
        <v>24</v>
      </c>
      <c r="D46" s="2" t="s">
        <v>27</v>
      </c>
      <c r="E46" s="20">
        <v>1227.25</v>
      </c>
      <c r="F46" s="6">
        <v>12</v>
      </c>
      <c r="G46" s="8">
        <v>0.15</v>
      </c>
      <c r="H46" s="7">
        <v>45448</v>
      </c>
      <c r="I46" s="25">
        <v>365.11</v>
      </c>
    </row>
    <row r="47" spans="1:9" x14ac:dyDescent="0.3">
      <c r="A47" s="2" t="s">
        <v>16</v>
      </c>
      <c r="B47" s="2" t="s">
        <v>62</v>
      </c>
      <c r="C47" s="2" t="s">
        <v>34</v>
      </c>
      <c r="D47" s="2" t="s">
        <v>21</v>
      </c>
      <c r="E47" s="20">
        <v>856.7</v>
      </c>
      <c r="F47" s="6">
        <v>2</v>
      </c>
      <c r="G47" s="8">
        <v>0</v>
      </c>
      <c r="H47" s="7">
        <v>45449</v>
      </c>
      <c r="I47" s="25">
        <v>214.18</v>
      </c>
    </row>
    <row r="48" spans="1:9" x14ac:dyDescent="0.3">
      <c r="A48" s="2" t="s">
        <v>54</v>
      </c>
      <c r="B48" s="2" t="s">
        <v>56</v>
      </c>
      <c r="C48" s="2" t="s">
        <v>34</v>
      </c>
      <c r="D48" s="2" t="s">
        <v>39</v>
      </c>
      <c r="E48" s="20">
        <v>1225.42</v>
      </c>
      <c r="F48" s="6">
        <v>8</v>
      </c>
      <c r="G48" s="8">
        <v>0.15</v>
      </c>
      <c r="H48" s="7">
        <v>45449</v>
      </c>
      <c r="I48" s="25">
        <v>468.72</v>
      </c>
    </row>
    <row r="49" spans="1:9" x14ac:dyDescent="0.3">
      <c r="A49" s="2" t="s">
        <v>63</v>
      </c>
      <c r="B49" s="2" t="s">
        <v>31</v>
      </c>
      <c r="C49" s="2" t="s">
        <v>24</v>
      </c>
      <c r="D49" s="2" t="s">
        <v>39</v>
      </c>
      <c r="E49" s="20">
        <v>1001.57</v>
      </c>
      <c r="F49" s="6">
        <v>12</v>
      </c>
      <c r="G49" s="8">
        <v>0</v>
      </c>
      <c r="H49" s="7">
        <v>45450</v>
      </c>
      <c r="I49" s="25">
        <v>450.71</v>
      </c>
    </row>
    <row r="50" spans="1:9" x14ac:dyDescent="0.3">
      <c r="A50" s="2" t="s">
        <v>57</v>
      </c>
      <c r="B50" s="2" t="s">
        <v>26</v>
      </c>
      <c r="C50" s="2" t="s">
        <v>18</v>
      </c>
      <c r="D50" s="2" t="s">
        <v>27</v>
      </c>
      <c r="E50" s="20">
        <v>1186.8499999999999</v>
      </c>
      <c r="F50" s="6">
        <v>19</v>
      </c>
      <c r="G50" s="8">
        <v>0.2</v>
      </c>
      <c r="H50" s="7">
        <v>45451</v>
      </c>
      <c r="I50" s="25">
        <v>332.32</v>
      </c>
    </row>
    <row r="51" spans="1:9" x14ac:dyDescent="0.3">
      <c r="A51" s="2" t="s">
        <v>44</v>
      </c>
      <c r="B51" s="2" t="s">
        <v>51</v>
      </c>
      <c r="C51" s="2" t="s">
        <v>20</v>
      </c>
      <c r="D51" s="2" t="s">
        <v>21</v>
      </c>
      <c r="E51" s="20">
        <v>775.45</v>
      </c>
      <c r="F51" s="6">
        <v>6</v>
      </c>
      <c r="G51" s="8">
        <v>0.1</v>
      </c>
      <c r="H51" s="7">
        <v>45457</v>
      </c>
      <c r="I51" s="25">
        <v>174.48</v>
      </c>
    </row>
    <row r="52" spans="1:9" x14ac:dyDescent="0.3">
      <c r="A52" s="2" t="s">
        <v>25</v>
      </c>
      <c r="B52" s="2" t="s">
        <v>33</v>
      </c>
      <c r="C52" s="2" t="s">
        <v>20</v>
      </c>
      <c r="D52" s="2" t="s">
        <v>21</v>
      </c>
      <c r="E52" s="20">
        <v>1021.47</v>
      </c>
      <c r="F52" s="6">
        <v>6</v>
      </c>
      <c r="G52" s="8">
        <v>0.05</v>
      </c>
      <c r="H52" s="7">
        <v>45461</v>
      </c>
      <c r="I52" s="25">
        <v>242.6</v>
      </c>
    </row>
    <row r="53" spans="1:9" x14ac:dyDescent="0.3">
      <c r="A53" s="2" t="s">
        <v>58</v>
      </c>
      <c r="B53" s="2" t="s">
        <v>23</v>
      </c>
      <c r="C53" s="2" t="s">
        <v>20</v>
      </c>
      <c r="D53" s="2" t="s">
        <v>15</v>
      </c>
      <c r="E53" s="20">
        <v>1226.6199999999999</v>
      </c>
      <c r="F53" s="6">
        <v>7</v>
      </c>
      <c r="G53" s="8">
        <v>0.1</v>
      </c>
      <c r="H53" s="7">
        <v>45463</v>
      </c>
      <c r="I53" s="25">
        <v>551.98</v>
      </c>
    </row>
    <row r="54" spans="1:9" x14ac:dyDescent="0.3">
      <c r="A54" s="2" t="s">
        <v>22</v>
      </c>
      <c r="B54" s="2" t="s">
        <v>64</v>
      </c>
      <c r="C54" s="2" t="s">
        <v>20</v>
      </c>
      <c r="D54" s="2" t="s">
        <v>27</v>
      </c>
      <c r="E54" s="20">
        <v>1086.93</v>
      </c>
      <c r="F54" s="6">
        <v>2</v>
      </c>
      <c r="G54" s="8">
        <v>0</v>
      </c>
      <c r="H54" s="7">
        <v>45464</v>
      </c>
      <c r="I54" s="25">
        <v>380.43</v>
      </c>
    </row>
    <row r="55" spans="1:9" x14ac:dyDescent="0.3">
      <c r="A55" s="2" t="s">
        <v>65</v>
      </c>
      <c r="B55" s="2" t="s">
        <v>48</v>
      </c>
      <c r="C55" s="2" t="s">
        <v>11</v>
      </c>
      <c r="D55" s="2" t="s">
        <v>12</v>
      </c>
      <c r="E55" s="20">
        <v>942.9</v>
      </c>
      <c r="F55" s="6">
        <v>18</v>
      </c>
      <c r="G55" s="8">
        <v>0.1</v>
      </c>
      <c r="H55" s="7">
        <v>45466</v>
      </c>
      <c r="I55" s="25">
        <v>339.44</v>
      </c>
    </row>
    <row r="56" spans="1:9" x14ac:dyDescent="0.3">
      <c r="A56" s="2" t="s">
        <v>32</v>
      </c>
      <c r="B56" s="2" t="s">
        <v>38</v>
      </c>
      <c r="C56" s="2" t="s">
        <v>24</v>
      </c>
      <c r="D56" s="2" t="s">
        <v>21</v>
      </c>
      <c r="E56" s="20">
        <v>818.8</v>
      </c>
      <c r="F56" s="6">
        <v>15</v>
      </c>
      <c r="G56" s="8">
        <v>0.15</v>
      </c>
      <c r="H56" s="7">
        <v>45468</v>
      </c>
      <c r="I56" s="25">
        <v>173.99</v>
      </c>
    </row>
    <row r="57" spans="1:9" x14ac:dyDescent="0.3">
      <c r="A57" s="2" t="s">
        <v>19</v>
      </c>
      <c r="B57" s="2" t="s">
        <v>14</v>
      </c>
      <c r="C57" s="2" t="s">
        <v>20</v>
      </c>
      <c r="D57" s="2" t="s">
        <v>27</v>
      </c>
      <c r="E57" s="20">
        <v>919.04</v>
      </c>
      <c r="F57" s="6">
        <v>10</v>
      </c>
      <c r="G57" s="8">
        <v>0.2</v>
      </c>
      <c r="H57" s="7">
        <v>45468</v>
      </c>
      <c r="I57" s="25">
        <v>257.33</v>
      </c>
    </row>
    <row r="58" spans="1:9" x14ac:dyDescent="0.3">
      <c r="A58" s="2" t="s">
        <v>22</v>
      </c>
      <c r="B58" s="2" t="s">
        <v>66</v>
      </c>
      <c r="C58" s="2" t="s">
        <v>34</v>
      </c>
      <c r="D58" s="2" t="s">
        <v>12</v>
      </c>
      <c r="E58" s="20">
        <v>973.26</v>
      </c>
      <c r="F58" s="6">
        <v>11</v>
      </c>
      <c r="G58" s="8">
        <v>0</v>
      </c>
      <c r="H58" s="7">
        <v>45470</v>
      </c>
      <c r="I58" s="25">
        <v>389.3</v>
      </c>
    </row>
    <row r="59" spans="1:9" x14ac:dyDescent="0.3">
      <c r="A59" s="2" t="s">
        <v>41</v>
      </c>
      <c r="B59" s="2" t="s">
        <v>64</v>
      </c>
      <c r="C59" s="2" t="s">
        <v>24</v>
      </c>
      <c r="D59" s="2" t="s">
        <v>21</v>
      </c>
      <c r="E59" s="20">
        <v>741.61</v>
      </c>
      <c r="F59" s="6">
        <v>1</v>
      </c>
      <c r="G59" s="8">
        <v>0.2</v>
      </c>
      <c r="H59" s="7">
        <v>45471</v>
      </c>
      <c r="I59" s="25">
        <v>148.32</v>
      </c>
    </row>
    <row r="60" spans="1:9" x14ac:dyDescent="0.3">
      <c r="A60" s="2" t="s">
        <v>67</v>
      </c>
      <c r="B60" s="2" t="s">
        <v>38</v>
      </c>
      <c r="C60" s="2" t="s">
        <v>24</v>
      </c>
      <c r="D60" s="2" t="s">
        <v>12</v>
      </c>
      <c r="E60" s="20">
        <v>1248.82</v>
      </c>
      <c r="F60" s="6">
        <v>2</v>
      </c>
      <c r="G60" s="8">
        <v>0.1</v>
      </c>
      <c r="H60" s="7">
        <v>45473</v>
      </c>
      <c r="I60" s="25">
        <v>449.58</v>
      </c>
    </row>
    <row r="61" spans="1:9" x14ac:dyDescent="0.3">
      <c r="A61" s="2" t="s">
        <v>13</v>
      </c>
      <c r="B61" s="2" t="s">
        <v>59</v>
      </c>
      <c r="C61" s="2" t="s">
        <v>11</v>
      </c>
      <c r="D61" s="2" t="s">
        <v>15</v>
      </c>
      <c r="E61" s="20">
        <v>1360.36</v>
      </c>
      <c r="F61" s="6">
        <v>17</v>
      </c>
      <c r="G61" s="8">
        <v>0</v>
      </c>
      <c r="H61" s="7">
        <v>45473</v>
      </c>
      <c r="I61" s="25">
        <v>680.18</v>
      </c>
    </row>
    <row r="62" spans="1:9" x14ac:dyDescent="0.3">
      <c r="A62" s="2" t="s">
        <v>57</v>
      </c>
      <c r="B62" s="2" t="s">
        <v>31</v>
      </c>
      <c r="C62" s="2" t="s">
        <v>18</v>
      </c>
      <c r="D62" s="2" t="s">
        <v>12</v>
      </c>
      <c r="E62" s="20">
        <v>1383.3</v>
      </c>
      <c r="F62" s="6">
        <v>8</v>
      </c>
      <c r="G62" s="8">
        <v>0.1</v>
      </c>
      <c r="H62" s="7">
        <v>45478</v>
      </c>
      <c r="I62" s="25">
        <v>497.99</v>
      </c>
    </row>
    <row r="63" spans="1:9" x14ac:dyDescent="0.3">
      <c r="A63" s="2" t="s">
        <v>35</v>
      </c>
      <c r="B63" s="2" t="s">
        <v>55</v>
      </c>
      <c r="C63" s="2" t="s">
        <v>34</v>
      </c>
      <c r="D63" s="2" t="s">
        <v>39</v>
      </c>
      <c r="E63" s="20">
        <v>488.99</v>
      </c>
      <c r="F63" s="6">
        <v>9</v>
      </c>
      <c r="G63" s="8">
        <v>0</v>
      </c>
      <c r="H63" s="7">
        <v>45479</v>
      </c>
      <c r="I63" s="25">
        <v>220.05</v>
      </c>
    </row>
    <row r="64" spans="1:9" x14ac:dyDescent="0.3">
      <c r="A64" s="2" t="s">
        <v>30</v>
      </c>
      <c r="B64" s="2" t="s">
        <v>31</v>
      </c>
      <c r="C64" s="2" t="s">
        <v>18</v>
      </c>
      <c r="D64" s="2" t="s">
        <v>27</v>
      </c>
      <c r="E64" s="20">
        <v>933.71</v>
      </c>
      <c r="F64" s="6">
        <v>17</v>
      </c>
      <c r="G64" s="8">
        <v>0.1</v>
      </c>
      <c r="H64" s="7">
        <v>45481</v>
      </c>
      <c r="I64" s="25">
        <v>294.12</v>
      </c>
    </row>
    <row r="65" spans="1:9" x14ac:dyDescent="0.3">
      <c r="A65" s="2" t="s">
        <v>67</v>
      </c>
      <c r="B65" s="2" t="s">
        <v>10</v>
      </c>
      <c r="C65" s="2" t="s">
        <v>11</v>
      </c>
      <c r="D65" s="2" t="s">
        <v>21</v>
      </c>
      <c r="E65" s="20">
        <v>1005.53</v>
      </c>
      <c r="F65" s="6">
        <v>17</v>
      </c>
      <c r="G65" s="8">
        <v>0.2</v>
      </c>
      <c r="H65" s="7">
        <v>45481</v>
      </c>
      <c r="I65" s="25">
        <v>201.11</v>
      </c>
    </row>
    <row r="66" spans="1:9" x14ac:dyDescent="0.3">
      <c r="A66" s="2" t="s">
        <v>41</v>
      </c>
      <c r="B66" s="2" t="s">
        <v>61</v>
      </c>
      <c r="C66" s="2" t="s">
        <v>20</v>
      </c>
      <c r="D66" s="2" t="s">
        <v>21</v>
      </c>
      <c r="E66" s="20">
        <v>1100.0999999999999</v>
      </c>
      <c r="F66" s="6">
        <v>5</v>
      </c>
      <c r="G66" s="8">
        <v>0.05</v>
      </c>
      <c r="H66" s="7">
        <v>45482</v>
      </c>
      <c r="I66" s="25">
        <v>261.27</v>
      </c>
    </row>
    <row r="67" spans="1:9" x14ac:dyDescent="0.3">
      <c r="A67" s="2" t="s">
        <v>67</v>
      </c>
      <c r="B67" s="2" t="s">
        <v>23</v>
      </c>
      <c r="C67" s="2" t="s">
        <v>24</v>
      </c>
      <c r="D67" s="2" t="s">
        <v>27</v>
      </c>
      <c r="E67" s="20">
        <v>1034.7</v>
      </c>
      <c r="F67" s="6">
        <v>15</v>
      </c>
      <c r="G67" s="8">
        <v>0.15</v>
      </c>
      <c r="H67" s="7">
        <v>45487</v>
      </c>
      <c r="I67" s="25">
        <v>307.82</v>
      </c>
    </row>
    <row r="68" spans="1:9" x14ac:dyDescent="0.3">
      <c r="A68" s="2" t="s">
        <v>65</v>
      </c>
      <c r="B68" s="2" t="s">
        <v>31</v>
      </c>
      <c r="C68" s="2" t="s">
        <v>20</v>
      </c>
      <c r="D68" s="2" t="s">
        <v>12</v>
      </c>
      <c r="E68" s="20">
        <v>876.44</v>
      </c>
      <c r="F68" s="6">
        <v>12</v>
      </c>
      <c r="G68" s="8">
        <v>0.05</v>
      </c>
      <c r="H68" s="7">
        <v>45488</v>
      </c>
      <c r="I68" s="25">
        <v>333.05</v>
      </c>
    </row>
    <row r="69" spans="1:9" x14ac:dyDescent="0.3">
      <c r="A69" s="2" t="s">
        <v>68</v>
      </c>
      <c r="B69" s="2" t="s">
        <v>55</v>
      </c>
      <c r="C69" s="2" t="s">
        <v>11</v>
      </c>
      <c r="D69" s="2" t="s">
        <v>27</v>
      </c>
      <c r="E69" s="20">
        <v>1371.34</v>
      </c>
      <c r="F69" s="6">
        <v>5</v>
      </c>
      <c r="G69" s="8">
        <v>0.05</v>
      </c>
      <c r="H69" s="7">
        <v>45488</v>
      </c>
      <c r="I69" s="25">
        <v>455.97</v>
      </c>
    </row>
    <row r="70" spans="1:9" x14ac:dyDescent="0.3">
      <c r="A70" s="2" t="s">
        <v>57</v>
      </c>
      <c r="B70" s="2" t="s">
        <v>47</v>
      </c>
      <c r="C70" s="2" t="s">
        <v>24</v>
      </c>
      <c r="D70" s="2" t="s">
        <v>21</v>
      </c>
      <c r="E70" s="20">
        <v>1020.26</v>
      </c>
      <c r="F70" s="6">
        <v>11</v>
      </c>
      <c r="G70" s="8">
        <v>0.05</v>
      </c>
      <c r="H70" s="7">
        <v>45494</v>
      </c>
      <c r="I70" s="25">
        <v>242.31</v>
      </c>
    </row>
    <row r="71" spans="1:9" x14ac:dyDescent="0.3">
      <c r="A71" s="2" t="s">
        <v>44</v>
      </c>
      <c r="B71" s="2" t="s">
        <v>10</v>
      </c>
      <c r="C71" s="2" t="s">
        <v>34</v>
      </c>
      <c r="D71" s="2" t="s">
        <v>39</v>
      </c>
      <c r="E71" s="20">
        <v>804.81</v>
      </c>
      <c r="F71" s="6">
        <v>1</v>
      </c>
      <c r="G71" s="8">
        <v>0.05</v>
      </c>
      <c r="H71" s="7">
        <v>45502</v>
      </c>
      <c r="I71" s="25">
        <v>344.06</v>
      </c>
    </row>
    <row r="72" spans="1:9" x14ac:dyDescent="0.3">
      <c r="A72" s="2" t="s">
        <v>22</v>
      </c>
      <c r="B72" s="2" t="s">
        <v>55</v>
      </c>
      <c r="C72" s="2" t="s">
        <v>34</v>
      </c>
      <c r="D72" s="2" t="s">
        <v>21</v>
      </c>
      <c r="E72" s="20">
        <v>608.66</v>
      </c>
      <c r="F72" s="6">
        <v>1</v>
      </c>
      <c r="G72" s="8">
        <v>0.05</v>
      </c>
      <c r="H72" s="7">
        <v>45503</v>
      </c>
      <c r="I72" s="25">
        <v>144.56</v>
      </c>
    </row>
    <row r="73" spans="1:9" x14ac:dyDescent="0.3">
      <c r="A73" s="2" t="s">
        <v>68</v>
      </c>
      <c r="B73" s="2" t="s">
        <v>69</v>
      </c>
      <c r="C73" s="2" t="s">
        <v>20</v>
      </c>
      <c r="D73" s="2" t="s">
        <v>39</v>
      </c>
      <c r="E73" s="20">
        <v>981.2</v>
      </c>
      <c r="F73" s="6">
        <v>19</v>
      </c>
      <c r="G73" s="8">
        <v>0</v>
      </c>
      <c r="H73" s="7">
        <v>45504</v>
      </c>
      <c r="I73" s="25">
        <v>441.54</v>
      </c>
    </row>
    <row r="74" spans="1:9" x14ac:dyDescent="0.3">
      <c r="A74" s="2" t="s">
        <v>70</v>
      </c>
      <c r="B74" s="2" t="s">
        <v>55</v>
      </c>
      <c r="C74" s="2" t="s">
        <v>18</v>
      </c>
      <c r="D74" s="2" t="s">
        <v>21</v>
      </c>
      <c r="E74" s="20">
        <v>539.77</v>
      </c>
      <c r="F74" s="6">
        <v>10</v>
      </c>
      <c r="G74" s="8">
        <v>0.15</v>
      </c>
      <c r="H74" s="7">
        <v>45509</v>
      </c>
      <c r="I74" s="25">
        <v>114.7</v>
      </c>
    </row>
    <row r="75" spans="1:9" x14ac:dyDescent="0.3">
      <c r="A75" s="2" t="s">
        <v>13</v>
      </c>
      <c r="B75" s="2" t="s">
        <v>71</v>
      </c>
      <c r="C75" s="2" t="s">
        <v>20</v>
      </c>
      <c r="D75" s="2" t="s">
        <v>12</v>
      </c>
      <c r="E75" s="20">
        <v>804.45</v>
      </c>
      <c r="F75" s="6">
        <v>5</v>
      </c>
      <c r="G75" s="8">
        <v>0.2</v>
      </c>
      <c r="H75" s="7">
        <v>45509</v>
      </c>
      <c r="I75" s="25">
        <v>257.42</v>
      </c>
    </row>
    <row r="76" spans="1:9" x14ac:dyDescent="0.3">
      <c r="A76" s="2" t="s">
        <v>70</v>
      </c>
      <c r="B76" s="2" t="s">
        <v>38</v>
      </c>
      <c r="C76" s="2" t="s">
        <v>11</v>
      </c>
      <c r="D76" s="2" t="s">
        <v>21</v>
      </c>
      <c r="E76" s="20">
        <v>1526.6</v>
      </c>
      <c r="F76" s="6">
        <v>13</v>
      </c>
      <c r="G76" s="8">
        <v>0.2</v>
      </c>
      <c r="H76" s="7">
        <v>45512</v>
      </c>
      <c r="I76" s="25">
        <v>305.32</v>
      </c>
    </row>
    <row r="77" spans="1:9" x14ac:dyDescent="0.3">
      <c r="A77" s="2" t="s">
        <v>13</v>
      </c>
      <c r="B77" s="2" t="s">
        <v>29</v>
      </c>
      <c r="C77" s="2" t="s">
        <v>11</v>
      </c>
      <c r="D77" s="2" t="s">
        <v>21</v>
      </c>
      <c r="E77" s="20">
        <v>1215.26</v>
      </c>
      <c r="F77" s="6">
        <v>5</v>
      </c>
      <c r="G77" s="8">
        <v>0.15</v>
      </c>
      <c r="H77" s="7">
        <v>45513</v>
      </c>
      <c r="I77" s="25">
        <v>258.24</v>
      </c>
    </row>
    <row r="78" spans="1:9" x14ac:dyDescent="0.3">
      <c r="A78" s="2" t="s">
        <v>19</v>
      </c>
      <c r="B78" s="2" t="s">
        <v>53</v>
      </c>
      <c r="C78" s="2" t="s">
        <v>34</v>
      </c>
      <c r="D78" s="2" t="s">
        <v>27</v>
      </c>
      <c r="E78" s="20">
        <v>1261.3399999999999</v>
      </c>
      <c r="F78" s="6">
        <v>3</v>
      </c>
      <c r="G78" s="8">
        <v>0</v>
      </c>
      <c r="H78" s="7">
        <v>45519</v>
      </c>
      <c r="I78" s="25">
        <v>441.47</v>
      </c>
    </row>
    <row r="79" spans="1:9" x14ac:dyDescent="0.3">
      <c r="A79" s="2" t="s">
        <v>72</v>
      </c>
      <c r="B79" s="2" t="s">
        <v>45</v>
      </c>
      <c r="C79" s="2" t="s">
        <v>24</v>
      </c>
      <c r="D79" s="2" t="s">
        <v>27</v>
      </c>
      <c r="E79" s="20">
        <v>518.07000000000005</v>
      </c>
      <c r="F79" s="6">
        <v>7</v>
      </c>
      <c r="G79" s="8">
        <v>0.05</v>
      </c>
      <c r="H79" s="7">
        <v>45522</v>
      </c>
      <c r="I79" s="25">
        <v>172.26</v>
      </c>
    </row>
    <row r="80" spans="1:9" x14ac:dyDescent="0.3">
      <c r="A80" s="2" t="s">
        <v>30</v>
      </c>
      <c r="B80" s="2" t="s">
        <v>29</v>
      </c>
      <c r="C80" s="2" t="s">
        <v>11</v>
      </c>
      <c r="D80" s="2" t="s">
        <v>39</v>
      </c>
      <c r="E80" s="20">
        <v>1111.3399999999999</v>
      </c>
      <c r="F80" s="6">
        <v>1</v>
      </c>
      <c r="G80" s="8">
        <v>0</v>
      </c>
      <c r="H80" s="7">
        <v>45523</v>
      </c>
      <c r="I80" s="25">
        <v>500.1</v>
      </c>
    </row>
    <row r="81" spans="1:9" x14ac:dyDescent="0.3">
      <c r="A81" s="2" t="s">
        <v>22</v>
      </c>
      <c r="B81" s="2" t="s">
        <v>31</v>
      </c>
      <c r="C81" s="2" t="s">
        <v>18</v>
      </c>
      <c r="D81" s="2" t="s">
        <v>15</v>
      </c>
      <c r="E81" s="20">
        <v>1291.47</v>
      </c>
      <c r="F81" s="6">
        <v>18</v>
      </c>
      <c r="G81" s="8">
        <v>0.1</v>
      </c>
      <c r="H81" s="7">
        <v>45526</v>
      </c>
      <c r="I81" s="25">
        <v>581.16</v>
      </c>
    </row>
    <row r="82" spans="1:9" x14ac:dyDescent="0.3">
      <c r="A82" s="2" t="s">
        <v>25</v>
      </c>
      <c r="B82" s="2" t="s">
        <v>55</v>
      </c>
      <c r="C82" s="2" t="s">
        <v>24</v>
      </c>
      <c r="D82" s="2" t="s">
        <v>12</v>
      </c>
      <c r="E82" s="20">
        <v>679.71</v>
      </c>
      <c r="F82" s="6">
        <v>19</v>
      </c>
      <c r="G82" s="8">
        <v>0</v>
      </c>
      <c r="H82" s="7">
        <v>45534</v>
      </c>
      <c r="I82" s="25">
        <v>271.88</v>
      </c>
    </row>
    <row r="83" spans="1:9" x14ac:dyDescent="0.3">
      <c r="A83" s="2" t="s">
        <v>68</v>
      </c>
      <c r="B83" s="2" t="s">
        <v>33</v>
      </c>
      <c r="C83" s="2" t="s">
        <v>18</v>
      </c>
      <c r="D83" s="2" t="s">
        <v>27</v>
      </c>
      <c r="E83" s="20">
        <v>1143.69</v>
      </c>
      <c r="F83" s="6">
        <v>17</v>
      </c>
      <c r="G83" s="8">
        <v>0</v>
      </c>
      <c r="H83" s="7">
        <v>45534</v>
      </c>
      <c r="I83" s="25">
        <v>400.29</v>
      </c>
    </row>
    <row r="84" spans="1:9" x14ac:dyDescent="0.3">
      <c r="A84" s="2" t="s">
        <v>52</v>
      </c>
      <c r="B84" s="2" t="s">
        <v>50</v>
      </c>
      <c r="C84" s="2" t="s">
        <v>34</v>
      </c>
      <c r="D84" s="2" t="s">
        <v>21</v>
      </c>
      <c r="E84" s="20">
        <v>790.08</v>
      </c>
      <c r="F84" s="6">
        <v>7</v>
      </c>
      <c r="G84" s="8">
        <v>0.1</v>
      </c>
      <c r="H84" s="7">
        <v>45536</v>
      </c>
      <c r="I84" s="25">
        <v>177.77</v>
      </c>
    </row>
    <row r="85" spans="1:9" x14ac:dyDescent="0.3">
      <c r="A85" s="2" t="s">
        <v>19</v>
      </c>
      <c r="B85" s="2" t="s">
        <v>48</v>
      </c>
      <c r="C85" s="2" t="s">
        <v>34</v>
      </c>
      <c r="D85" s="2" t="s">
        <v>12</v>
      </c>
      <c r="E85" s="20">
        <v>1070.68</v>
      </c>
      <c r="F85" s="6">
        <v>7</v>
      </c>
      <c r="G85" s="8">
        <v>0.05</v>
      </c>
      <c r="H85" s="7">
        <v>45536</v>
      </c>
      <c r="I85" s="25">
        <v>406.86</v>
      </c>
    </row>
    <row r="86" spans="1:9" x14ac:dyDescent="0.3">
      <c r="A86" s="2" t="s">
        <v>58</v>
      </c>
      <c r="B86" s="2" t="s">
        <v>36</v>
      </c>
      <c r="C86" s="2" t="s">
        <v>11</v>
      </c>
      <c r="D86" s="2" t="s">
        <v>15</v>
      </c>
      <c r="E86" s="20">
        <v>1168.8900000000001</v>
      </c>
      <c r="F86" s="6">
        <v>4</v>
      </c>
      <c r="G86" s="8">
        <v>0.1</v>
      </c>
      <c r="H86" s="7">
        <v>45544</v>
      </c>
      <c r="I86" s="25">
        <v>526</v>
      </c>
    </row>
    <row r="87" spans="1:9" x14ac:dyDescent="0.3">
      <c r="A87" s="2" t="s">
        <v>67</v>
      </c>
      <c r="B87" s="2" t="s">
        <v>10</v>
      </c>
      <c r="C87" s="2" t="s">
        <v>20</v>
      </c>
      <c r="D87" s="2" t="s">
        <v>21</v>
      </c>
      <c r="E87" s="20">
        <v>1335.87</v>
      </c>
      <c r="F87" s="6">
        <v>17</v>
      </c>
      <c r="G87" s="8">
        <v>0</v>
      </c>
      <c r="H87" s="7">
        <v>45544</v>
      </c>
      <c r="I87" s="25">
        <v>333.97</v>
      </c>
    </row>
    <row r="88" spans="1:9" x14ac:dyDescent="0.3">
      <c r="A88" s="2" t="s">
        <v>40</v>
      </c>
      <c r="B88" s="2" t="s">
        <v>55</v>
      </c>
      <c r="C88" s="2" t="s">
        <v>18</v>
      </c>
      <c r="D88" s="2" t="s">
        <v>27</v>
      </c>
      <c r="E88" s="20">
        <v>873.7</v>
      </c>
      <c r="F88" s="6">
        <v>9</v>
      </c>
      <c r="G88" s="8">
        <v>0</v>
      </c>
      <c r="H88" s="7">
        <v>45546</v>
      </c>
      <c r="I88" s="25">
        <v>305.8</v>
      </c>
    </row>
    <row r="89" spans="1:9" x14ac:dyDescent="0.3">
      <c r="A89" s="2" t="s">
        <v>72</v>
      </c>
      <c r="B89" s="2" t="s">
        <v>64</v>
      </c>
      <c r="C89" s="2" t="s">
        <v>11</v>
      </c>
      <c r="D89" s="2" t="s">
        <v>39</v>
      </c>
      <c r="E89" s="20">
        <v>1443.98</v>
      </c>
      <c r="F89" s="6">
        <v>19</v>
      </c>
      <c r="G89" s="8">
        <v>0</v>
      </c>
      <c r="H89" s="7">
        <v>45547</v>
      </c>
      <c r="I89" s="25">
        <v>649.79</v>
      </c>
    </row>
    <row r="90" spans="1:9" x14ac:dyDescent="0.3">
      <c r="A90" s="2" t="s">
        <v>40</v>
      </c>
      <c r="B90" s="2" t="s">
        <v>23</v>
      </c>
      <c r="C90" s="2" t="s">
        <v>18</v>
      </c>
      <c r="D90" s="2" t="s">
        <v>39</v>
      </c>
      <c r="E90" s="20">
        <v>1154.33</v>
      </c>
      <c r="F90" s="6">
        <v>11</v>
      </c>
      <c r="G90" s="8">
        <v>0.15</v>
      </c>
      <c r="H90" s="7">
        <v>45549</v>
      </c>
      <c r="I90" s="25">
        <v>441.53</v>
      </c>
    </row>
    <row r="91" spans="1:9" x14ac:dyDescent="0.3">
      <c r="A91" s="2" t="s">
        <v>49</v>
      </c>
      <c r="B91" s="2" t="s">
        <v>50</v>
      </c>
      <c r="C91" s="2" t="s">
        <v>20</v>
      </c>
      <c r="D91" s="2" t="s">
        <v>12</v>
      </c>
      <c r="E91" s="20">
        <v>1264.49</v>
      </c>
      <c r="F91" s="6">
        <v>16</v>
      </c>
      <c r="G91" s="8">
        <v>0.05</v>
      </c>
      <c r="H91" s="7">
        <v>45549</v>
      </c>
      <c r="I91" s="25">
        <v>480.51</v>
      </c>
    </row>
    <row r="92" spans="1:9" x14ac:dyDescent="0.3">
      <c r="A92" s="2" t="s">
        <v>25</v>
      </c>
      <c r="B92" s="2" t="s">
        <v>66</v>
      </c>
      <c r="C92" s="2" t="s">
        <v>11</v>
      </c>
      <c r="D92" s="2" t="s">
        <v>27</v>
      </c>
      <c r="E92" s="20">
        <v>1101.55</v>
      </c>
      <c r="F92" s="6">
        <v>4</v>
      </c>
      <c r="G92" s="8">
        <v>0.1</v>
      </c>
      <c r="H92" s="7">
        <v>45551</v>
      </c>
      <c r="I92" s="25">
        <v>346.99</v>
      </c>
    </row>
    <row r="93" spans="1:9" x14ac:dyDescent="0.3">
      <c r="A93" s="2" t="s">
        <v>73</v>
      </c>
      <c r="B93" s="2" t="s">
        <v>14</v>
      </c>
      <c r="C93" s="2" t="s">
        <v>20</v>
      </c>
      <c r="D93" s="2" t="s">
        <v>27</v>
      </c>
      <c r="E93" s="20">
        <v>727.73</v>
      </c>
      <c r="F93" s="6">
        <v>1</v>
      </c>
      <c r="G93" s="8">
        <v>0.1</v>
      </c>
      <c r="H93" s="7">
        <v>45552</v>
      </c>
      <c r="I93" s="25">
        <v>229.23</v>
      </c>
    </row>
    <row r="94" spans="1:9" x14ac:dyDescent="0.3">
      <c r="A94" s="2" t="s">
        <v>74</v>
      </c>
      <c r="B94" s="2" t="s">
        <v>38</v>
      </c>
      <c r="C94" s="2" t="s">
        <v>18</v>
      </c>
      <c r="D94" s="2" t="s">
        <v>39</v>
      </c>
      <c r="E94" s="20">
        <v>875.41</v>
      </c>
      <c r="F94" s="6">
        <v>13</v>
      </c>
      <c r="G94" s="8">
        <v>0.15</v>
      </c>
      <c r="H94" s="7">
        <v>45552</v>
      </c>
      <c r="I94" s="25">
        <v>334.84</v>
      </c>
    </row>
    <row r="95" spans="1:9" x14ac:dyDescent="0.3">
      <c r="A95" s="2" t="s">
        <v>67</v>
      </c>
      <c r="B95" s="2" t="s">
        <v>23</v>
      </c>
      <c r="C95" s="2" t="s">
        <v>11</v>
      </c>
      <c r="D95" s="2" t="s">
        <v>21</v>
      </c>
      <c r="E95" s="20">
        <v>1158.94</v>
      </c>
      <c r="F95" s="6">
        <v>19</v>
      </c>
      <c r="G95" s="8">
        <v>0.2</v>
      </c>
      <c r="H95" s="7">
        <v>45553</v>
      </c>
      <c r="I95" s="25">
        <v>231.79</v>
      </c>
    </row>
    <row r="96" spans="1:9" x14ac:dyDescent="0.3">
      <c r="A96" s="2" t="s">
        <v>75</v>
      </c>
      <c r="B96" s="2" t="s">
        <v>47</v>
      </c>
      <c r="C96" s="2" t="s">
        <v>20</v>
      </c>
      <c r="D96" s="2" t="s">
        <v>12</v>
      </c>
      <c r="E96" s="20">
        <v>966.3</v>
      </c>
      <c r="F96" s="6">
        <v>2</v>
      </c>
      <c r="G96" s="8">
        <v>0.15</v>
      </c>
      <c r="H96" s="7">
        <v>45557</v>
      </c>
      <c r="I96" s="25">
        <v>328.54</v>
      </c>
    </row>
    <row r="97" spans="1:9" x14ac:dyDescent="0.3">
      <c r="A97" s="2" t="s">
        <v>68</v>
      </c>
      <c r="B97" s="2" t="s">
        <v>17</v>
      </c>
      <c r="C97" s="2" t="s">
        <v>20</v>
      </c>
      <c r="D97" s="2" t="s">
        <v>12</v>
      </c>
      <c r="E97" s="20">
        <v>917.48</v>
      </c>
      <c r="F97" s="6">
        <v>6</v>
      </c>
      <c r="G97" s="8">
        <v>0</v>
      </c>
      <c r="H97" s="7">
        <v>45558</v>
      </c>
      <c r="I97" s="25">
        <v>366.99</v>
      </c>
    </row>
    <row r="98" spans="1:9" x14ac:dyDescent="0.3">
      <c r="A98" s="2" t="s">
        <v>41</v>
      </c>
      <c r="B98" s="2" t="s">
        <v>61</v>
      </c>
      <c r="C98" s="2" t="s">
        <v>11</v>
      </c>
      <c r="D98" s="2" t="s">
        <v>27</v>
      </c>
      <c r="E98" s="20">
        <v>1172.97</v>
      </c>
      <c r="F98" s="6">
        <v>7</v>
      </c>
      <c r="G98" s="8">
        <v>0.15</v>
      </c>
      <c r="H98" s="7">
        <v>45559</v>
      </c>
      <c r="I98" s="25">
        <v>348.96</v>
      </c>
    </row>
    <row r="99" spans="1:9" x14ac:dyDescent="0.3">
      <c r="A99" s="2" t="s">
        <v>57</v>
      </c>
      <c r="B99" s="2" t="s">
        <v>23</v>
      </c>
      <c r="C99" s="2" t="s">
        <v>24</v>
      </c>
      <c r="D99" s="2" t="s">
        <v>15</v>
      </c>
      <c r="E99" s="20">
        <v>1205.82</v>
      </c>
      <c r="F99" s="6">
        <v>11</v>
      </c>
      <c r="G99" s="8">
        <v>0.1</v>
      </c>
      <c r="H99" s="7">
        <v>45559</v>
      </c>
      <c r="I99" s="25">
        <v>542.62</v>
      </c>
    </row>
    <row r="100" spans="1:9" x14ac:dyDescent="0.3">
      <c r="A100" s="2" t="s">
        <v>16</v>
      </c>
      <c r="B100" s="2" t="s">
        <v>64</v>
      </c>
      <c r="C100" s="2" t="s">
        <v>11</v>
      </c>
      <c r="D100" s="2" t="s">
        <v>39</v>
      </c>
      <c r="E100" s="20">
        <v>826.93</v>
      </c>
      <c r="F100" s="6">
        <v>10</v>
      </c>
      <c r="G100" s="8">
        <v>0.2</v>
      </c>
      <c r="H100" s="7">
        <v>45564</v>
      </c>
      <c r="I100" s="25">
        <v>297.69</v>
      </c>
    </row>
    <row r="101" spans="1:9" x14ac:dyDescent="0.3">
      <c r="A101" s="2" t="s">
        <v>67</v>
      </c>
      <c r="B101" s="2" t="s">
        <v>23</v>
      </c>
      <c r="C101" s="2" t="s">
        <v>34</v>
      </c>
      <c r="D101" s="2" t="s">
        <v>15</v>
      </c>
      <c r="E101" s="20">
        <v>902.19</v>
      </c>
      <c r="F101" s="6">
        <v>12</v>
      </c>
      <c r="G101" s="8">
        <v>0</v>
      </c>
      <c r="H101" s="7">
        <v>45564</v>
      </c>
      <c r="I101" s="25">
        <v>451.1</v>
      </c>
    </row>
    <row r="102" spans="1:9" x14ac:dyDescent="0.3">
      <c r="A102" s="2" t="s">
        <v>74</v>
      </c>
      <c r="B102" s="2" t="s">
        <v>38</v>
      </c>
      <c r="C102" s="2" t="s">
        <v>24</v>
      </c>
      <c r="D102" s="2" t="s">
        <v>12</v>
      </c>
      <c r="E102" s="20">
        <v>585.97</v>
      </c>
      <c r="F102" s="6">
        <v>17</v>
      </c>
      <c r="G102" s="8">
        <v>0.1</v>
      </c>
      <c r="H102" s="7">
        <v>45565</v>
      </c>
      <c r="I102" s="25">
        <v>210.95</v>
      </c>
    </row>
    <row r="103" spans="1:9" x14ac:dyDescent="0.3">
      <c r="A103" s="2" t="s">
        <v>60</v>
      </c>
      <c r="B103" s="2" t="s">
        <v>26</v>
      </c>
      <c r="C103" s="2" t="s">
        <v>24</v>
      </c>
      <c r="D103" s="2" t="s">
        <v>15</v>
      </c>
      <c r="E103" s="20">
        <v>990.19</v>
      </c>
      <c r="F103" s="6">
        <v>8</v>
      </c>
      <c r="G103" s="8">
        <v>0.1</v>
      </c>
      <c r="H103" s="7">
        <v>45565</v>
      </c>
      <c r="I103" s="25">
        <v>445.59</v>
      </c>
    </row>
    <row r="104" spans="1:9" x14ac:dyDescent="0.3">
      <c r="A104" s="2" t="s">
        <v>44</v>
      </c>
      <c r="B104" s="2" t="s">
        <v>56</v>
      </c>
      <c r="C104" s="2" t="s">
        <v>34</v>
      </c>
      <c r="D104" s="2" t="s">
        <v>21</v>
      </c>
      <c r="E104" s="20">
        <v>1014.09</v>
      </c>
      <c r="F104" s="6">
        <v>13</v>
      </c>
      <c r="G104" s="8">
        <v>0.2</v>
      </c>
      <c r="H104" s="7">
        <v>45567</v>
      </c>
      <c r="I104" s="25">
        <v>202.82</v>
      </c>
    </row>
    <row r="105" spans="1:9" x14ac:dyDescent="0.3">
      <c r="A105" s="2" t="s">
        <v>13</v>
      </c>
      <c r="B105" s="2" t="s">
        <v>48</v>
      </c>
      <c r="C105" s="2" t="s">
        <v>24</v>
      </c>
      <c r="D105" s="2" t="s">
        <v>21</v>
      </c>
      <c r="E105" s="20">
        <v>925.29</v>
      </c>
      <c r="F105" s="6">
        <v>17</v>
      </c>
      <c r="G105" s="8">
        <v>0</v>
      </c>
      <c r="H105" s="7">
        <v>45570</v>
      </c>
      <c r="I105" s="25">
        <v>231.32</v>
      </c>
    </row>
    <row r="106" spans="1:9" x14ac:dyDescent="0.3">
      <c r="A106" s="2" t="s">
        <v>54</v>
      </c>
      <c r="B106" s="2" t="s">
        <v>47</v>
      </c>
      <c r="C106" s="2" t="s">
        <v>18</v>
      </c>
      <c r="D106" s="2" t="s">
        <v>27</v>
      </c>
      <c r="E106" s="20">
        <v>1286.54</v>
      </c>
      <c r="F106" s="6">
        <v>8</v>
      </c>
      <c r="G106" s="8">
        <v>0</v>
      </c>
      <c r="H106" s="7">
        <v>45575</v>
      </c>
      <c r="I106" s="25">
        <v>450.29</v>
      </c>
    </row>
    <row r="107" spans="1:9" x14ac:dyDescent="0.3">
      <c r="A107" s="2" t="s">
        <v>37</v>
      </c>
      <c r="B107" s="2" t="s">
        <v>64</v>
      </c>
      <c r="C107" s="2" t="s">
        <v>20</v>
      </c>
      <c r="D107" s="2" t="s">
        <v>12</v>
      </c>
      <c r="E107" s="20">
        <v>961.62</v>
      </c>
      <c r="F107" s="6">
        <v>8</v>
      </c>
      <c r="G107" s="8">
        <v>0.2</v>
      </c>
      <c r="H107" s="7">
        <v>45577</v>
      </c>
      <c r="I107" s="25">
        <v>307.72000000000003</v>
      </c>
    </row>
    <row r="108" spans="1:9" x14ac:dyDescent="0.3">
      <c r="A108" s="2" t="s">
        <v>44</v>
      </c>
      <c r="B108" s="2" t="s">
        <v>23</v>
      </c>
      <c r="C108" s="2" t="s">
        <v>18</v>
      </c>
      <c r="D108" s="2" t="s">
        <v>12</v>
      </c>
      <c r="E108" s="20">
        <v>1081.1400000000001</v>
      </c>
      <c r="F108" s="6">
        <v>19</v>
      </c>
      <c r="G108" s="8">
        <v>0.15</v>
      </c>
      <c r="H108" s="7">
        <v>45577</v>
      </c>
      <c r="I108" s="25">
        <v>367.59</v>
      </c>
    </row>
    <row r="109" spans="1:9" x14ac:dyDescent="0.3">
      <c r="A109" s="2" t="s">
        <v>58</v>
      </c>
      <c r="B109" s="2" t="s">
        <v>23</v>
      </c>
      <c r="C109" s="2" t="s">
        <v>11</v>
      </c>
      <c r="D109" s="2" t="s">
        <v>15</v>
      </c>
      <c r="E109" s="20">
        <v>1923.66</v>
      </c>
      <c r="F109" s="6">
        <v>9</v>
      </c>
      <c r="G109" s="8">
        <v>0.2</v>
      </c>
      <c r="H109" s="7">
        <v>45580</v>
      </c>
      <c r="I109" s="25">
        <v>769.46</v>
      </c>
    </row>
    <row r="110" spans="1:9" x14ac:dyDescent="0.3">
      <c r="A110" s="2" t="s">
        <v>54</v>
      </c>
      <c r="B110" s="2" t="s">
        <v>66</v>
      </c>
      <c r="C110" s="2" t="s">
        <v>34</v>
      </c>
      <c r="D110" s="2" t="s">
        <v>15</v>
      </c>
      <c r="E110" s="20">
        <v>728.71</v>
      </c>
      <c r="F110" s="6">
        <v>14</v>
      </c>
      <c r="G110" s="8">
        <v>0.1</v>
      </c>
      <c r="H110" s="7">
        <v>45581</v>
      </c>
      <c r="I110" s="25">
        <v>327.92</v>
      </c>
    </row>
    <row r="111" spans="1:9" x14ac:dyDescent="0.3">
      <c r="A111" s="2" t="s">
        <v>9</v>
      </c>
      <c r="B111" s="2" t="s">
        <v>33</v>
      </c>
      <c r="C111" s="2" t="s">
        <v>34</v>
      </c>
      <c r="D111" s="2" t="s">
        <v>15</v>
      </c>
      <c r="E111" s="20">
        <v>1301.8900000000001</v>
      </c>
      <c r="F111" s="6">
        <v>7</v>
      </c>
      <c r="G111" s="8">
        <v>0.15</v>
      </c>
      <c r="H111" s="7">
        <v>45581</v>
      </c>
      <c r="I111" s="25">
        <v>553.29999999999995</v>
      </c>
    </row>
    <row r="112" spans="1:9" x14ac:dyDescent="0.3">
      <c r="A112" s="2" t="s">
        <v>70</v>
      </c>
      <c r="B112" s="2" t="s">
        <v>66</v>
      </c>
      <c r="C112" s="2" t="s">
        <v>18</v>
      </c>
      <c r="D112" s="2" t="s">
        <v>12</v>
      </c>
      <c r="E112" s="20">
        <v>980.18</v>
      </c>
      <c r="F112" s="6">
        <v>16</v>
      </c>
      <c r="G112" s="8">
        <v>0.1</v>
      </c>
      <c r="H112" s="7">
        <v>45582</v>
      </c>
      <c r="I112" s="25">
        <v>352.86</v>
      </c>
    </row>
    <row r="113" spans="1:9" x14ac:dyDescent="0.3">
      <c r="A113" s="2" t="s">
        <v>74</v>
      </c>
      <c r="B113" s="2" t="s">
        <v>23</v>
      </c>
      <c r="C113" s="2" t="s">
        <v>11</v>
      </c>
      <c r="D113" s="2" t="s">
        <v>15</v>
      </c>
      <c r="E113" s="20">
        <v>697.57</v>
      </c>
      <c r="F113" s="6">
        <v>17</v>
      </c>
      <c r="G113" s="8">
        <v>0.1</v>
      </c>
      <c r="H113" s="7">
        <v>45584</v>
      </c>
      <c r="I113" s="25">
        <v>313.91000000000003</v>
      </c>
    </row>
    <row r="114" spans="1:9" x14ac:dyDescent="0.3">
      <c r="A114" s="2" t="s">
        <v>46</v>
      </c>
      <c r="B114" s="2" t="s">
        <v>71</v>
      </c>
      <c r="C114" s="2" t="s">
        <v>11</v>
      </c>
      <c r="D114" s="2" t="s">
        <v>27</v>
      </c>
      <c r="E114" s="20">
        <v>1193.6099999999999</v>
      </c>
      <c r="F114" s="6">
        <v>1</v>
      </c>
      <c r="G114" s="8">
        <v>0.15</v>
      </c>
      <c r="H114" s="7">
        <v>45584</v>
      </c>
      <c r="I114" s="25">
        <v>355.1</v>
      </c>
    </row>
    <row r="115" spans="1:9" x14ac:dyDescent="0.3">
      <c r="A115" s="2" t="s">
        <v>32</v>
      </c>
      <c r="B115" s="2" t="s">
        <v>38</v>
      </c>
      <c r="C115" s="2" t="s">
        <v>20</v>
      </c>
      <c r="D115" s="2" t="s">
        <v>21</v>
      </c>
      <c r="E115" s="20">
        <v>771.02</v>
      </c>
      <c r="F115" s="6">
        <v>1</v>
      </c>
      <c r="G115" s="8">
        <v>0</v>
      </c>
      <c r="H115" s="7">
        <v>45585</v>
      </c>
      <c r="I115" s="25">
        <v>192.76</v>
      </c>
    </row>
    <row r="116" spans="1:9" x14ac:dyDescent="0.3">
      <c r="A116" s="2" t="s">
        <v>67</v>
      </c>
      <c r="B116" s="2" t="s">
        <v>69</v>
      </c>
      <c r="C116" s="2" t="s">
        <v>24</v>
      </c>
      <c r="D116" s="2" t="s">
        <v>15</v>
      </c>
      <c r="E116" s="20">
        <v>661.09</v>
      </c>
      <c r="F116" s="6">
        <v>1</v>
      </c>
      <c r="G116" s="8">
        <v>0.2</v>
      </c>
      <c r="H116" s="7">
        <v>45593</v>
      </c>
      <c r="I116" s="25">
        <v>264.44</v>
      </c>
    </row>
    <row r="117" spans="1:9" x14ac:dyDescent="0.3">
      <c r="A117" s="2" t="s">
        <v>13</v>
      </c>
      <c r="B117" s="2" t="s">
        <v>55</v>
      </c>
      <c r="C117" s="2" t="s">
        <v>11</v>
      </c>
      <c r="D117" s="2" t="s">
        <v>21</v>
      </c>
      <c r="E117" s="20">
        <v>688.83</v>
      </c>
      <c r="F117" s="6">
        <v>15</v>
      </c>
      <c r="G117" s="8">
        <v>0</v>
      </c>
      <c r="H117" s="7">
        <v>45595</v>
      </c>
      <c r="I117" s="25">
        <v>172.21</v>
      </c>
    </row>
    <row r="118" spans="1:9" x14ac:dyDescent="0.3">
      <c r="A118" s="2" t="s">
        <v>73</v>
      </c>
      <c r="B118" s="2" t="s">
        <v>29</v>
      </c>
      <c r="C118" s="2" t="s">
        <v>34</v>
      </c>
      <c r="D118" s="2" t="s">
        <v>12</v>
      </c>
      <c r="E118" s="20">
        <v>1249.0999999999999</v>
      </c>
      <c r="F118" s="6">
        <v>4</v>
      </c>
      <c r="G118" s="8">
        <v>0.05</v>
      </c>
      <c r="H118" s="7">
        <v>45597</v>
      </c>
      <c r="I118" s="25">
        <v>474.66</v>
      </c>
    </row>
    <row r="119" spans="1:9" x14ac:dyDescent="0.3">
      <c r="A119" s="2" t="s">
        <v>44</v>
      </c>
      <c r="B119" s="2" t="s">
        <v>23</v>
      </c>
      <c r="C119" s="2" t="s">
        <v>18</v>
      </c>
      <c r="D119" s="2" t="s">
        <v>39</v>
      </c>
      <c r="E119" s="20">
        <v>1014.22</v>
      </c>
      <c r="F119" s="6">
        <v>14</v>
      </c>
      <c r="G119" s="8">
        <v>0.05</v>
      </c>
      <c r="H119" s="7">
        <v>45599</v>
      </c>
      <c r="I119" s="25">
        <v>433.58</v>
      </c>
    </row>
    <row r="120" spans="1:9" x14ac:dyDescent="0.3">
      <c r="A120" s="2" t="s">
        <v>54</v>
      </c>
      <c r="B120" s="2" t="s">
        <v>48</v>
      </c>
      <c r="C120" s="2" t="s">
        <v>18</v>
      </c>
      <c r="D120" s="2" t="s">
        <v>12</v>
      </c>
      <c r="E120" s="20">
        <v>1010.58</v>
      </c>
      <c r="F120" s="6">
        <v>2</v>
      </c>
      <c r="G120" s="8">
        <v>0.15</v>
      </c>
      <c r="H120" s="7">
        <v>45605</v>
      </c>
      <c r="I120" s="25">
        <v>343.6</v>
      </c>
    </row>
    <row r="121" spans="1:9" x14ac:dyDescent="0.3">
      <c r="A121" s="2" t="s">
        <v>30</v>
      </c>
      <c r="B121" s="2" t="s">
        <v>59</v>
      </c>
      <c r="C121" s="2" t="s">
        <v>24</v>
      </c>
      <c r="D121" s="2" t="s">
        <v>27</v>
      </c>
      <c r="E121" s="20">
        <v>957.29</v>
      </c>
      <c r="F121" s="6">
        <v>4</v>
      </c>
      <c r="G121" s="8">
        <v>0.05</v>
      </c>
      <c r="H121" s="7">
        <v>45605</v>
      </c>
      <c r="I121" s="25">
        <v>318.3</v>
      </c>
    </row>
    <row r="122" spans="1:9" x14ac:dyDescent="0.3">
      <c r="A122" s="2" t="s">
        <v>28</v>
      </c>
      <c r="B122" s="2" t="s">
        <v>45</v>
      </c>
      <c r="C122" s="2" t="s">
        <v>24</v>
      </c>
      <c r="D122" s="2" t="s">
        <v>27</v>
      </c>
      <c r="E122" s="20">
        <v>1077.92</v>
      </c>
      <c r="F122" s="6">
        <v>3</v>
      </c>
      <c r="G122" s="8">
        <v>0.05</v>
      </c>
      <c r="H122" s="7">
        <v>45608</v>
      </c>
      <c r="I122" s="25">
        <v>358.41</v>
      </c>
    </row>
    <row r="123" spans="1:9" x14ac:dyDescent="0.3">
      <c r="A123" s="2" t="s">
        <v>52</v>
      </c>
      <c r="B123" s="2" t="s">
        <v>50</v>
      </c>
      <c r="C123" s="2" t="s">
        <v>20</v>
      </c>
      <c r="D123" s="2" t="s">
        <v>15</v>
      </c>
      <c r="E123" s="20">
        <v>1163.01</v>
      </c>
      <c r="F123" s="6">
        <v>5</v>
      </c>
      <c r="G123" s="8">
        <v>0</v>
      </c>
      <c r="H123" s="7">
        <v>45611</v>
      </c>
      <c r="I123" s="25">
        <v>581.5</v>
      </c>
    </row>
    <row r="124" spans="1:9" x14ac:dyDescent="0.3">
      <c r="A124" s="2" t="s">
        <v>54</v>
      </c>
      <c r="B124" s="2" t="s">
        <v>45</v>
      </c>
      <c r="C124" s="2" t="s">
        <v>18</v>
      </c>
      <c r="D124" s="2" t="s">
        <v>39</v>
      </c>
      <c r="E124" s="20">
        <v>1014.56</v>
      </c>
      <c r="F124" s="6">
        <v>10</v>
      </c>
      <c r="G124" s="8">
        <v>0.1</v>
      </c>
      <c r="H124" s="7">
        <v>45612</v>
      </c>
      <c r="I124" s="25">
        <v>410.9</v>
      </c>
    </row>
    <row r="125" spans="1:9" x14ac:dyDescent="0.3">
      <c r="A125" s="2" t="s">
        <v>9</v>
      </c>
      <c r="B125" s="2" t="s">
        <v>17</v>
      </c>
      <c r="C125" s="2" t="s">
        <v>20</v>
      </c>
      <c r="D125" s="2" t="s">
        <v>21</v>
      </c>
      <c r="E125" s="20">
        <v>718.04</v>
      </c>
      <c r="F125" s="6">
        <v>14</v>
      </c>
      <c r="G125" s="8">
        <v>0</v>
      </c>
      <c r="H125" s="7">
        <v>45613</v>
      </c>
      <c r="I125" s="25">
        <v>179.51</v>
      </c>
    </row>
    <row r="126" spans="1:9" x14ac:dyDescent="0.3">
      <c r="A126" s="2" t="s">
        <v>72</v>
      </c>
      <c r="B126" s="2" t="s">
        <v>17</v>
      </c>
      <c r="C126" s="2" t="s">
        <v>34</v>
      </c>
      <c r="D126" s="2" t="s">
        <v>15</v>
      </c>
      <c r="E126" s="20">
        <v>1277.8499999999999</v>
      </c>
      <c r="F126" s="6">
        <v>18</v>
      </c>
      <c r="G126" s="8">
        <v>0.2</v>
      </c>
      <c r="H126" s="7">
        <v>45613</v>
      </c>
      <c r="I126" s="25">
        <v>511.14</v>
      </c>
    </row>
    <row r="127" spans="1:9" x14ac:dyDescent="0.3">
      <c r="A127" s="2" t="s">
        <v>70</v>
      </c>
      <c r="B127" s="2" t="s">
        <v>23</v>
      </c>
      <c r="C127" s="2" t="s">
        <v>24</v>
      </c>
      <c r="D127" s="2" t="s">
        <v>21</v>
      </c>
      <c r="E127" s="20">
        <v>706.73</v>
      </c>
      <c r="F127" s="6">
        <v>1</v>
      </c>
      <c r="G127" s="8">
        <v>0.15</v>
      </c>
      <c r="H127" s="7">
        <v>45613</v>
      </c>
      <c r="I127" s="25">
        <v>150.18</v>
      </c>
    </row>
    <row r="128" spans="1:9" x14ac:dyDescent="0.3">
      <c r="A128" s="2" t="s">
        <v>65</v>
      </c>
      <c r="B128" s="2" t="s">
        <v>50</v>
      </c>
      <c r="C128" s="2" t="s">
        <v>18</v>
      </c>
      <c r="D128" s="2" t="s">
        <v>21</v>
      </c>
      <c r="E128" s="20">
        <v>1410.59</v>
      </c>
      <c r="F128" s="6">
        <v>15</v>
      </c>
      <c r="G128" s="8">
        <v>0</v>
      </c>
      <c r="H128" s="7">
        <v>45615</v>
      </c>
      <c r="I128" s="25">
        <v>352.65</v>
      </c>
    </row>
    <row r="129" spans="1:9" x14ac:dyDescent="0.3">
      <c r="A129" s="2" t="s">
        <v>32</v>
      </c>
      <c r="B129" s="2" t="s">
        <v>61</v>
      </c>
      <c r="C129" s="2" t="s">
        <v>20</v>
      </c>
      <c r="D129" s="2" t="s">
        <v>27</v>
      </c>
      <c r="E129" s="20">
        <v>1350.33</v>
      </c>
      <c r="F129" s="6">
        <v>10</v>
      </c>
      <c r="G129" s="8">
        <v>0</v>
      </c>
      <c r="H129" s="7">
        <v>45615</v>
      </c>
      <c r="I129" s="25">
        <v>472.62</v>
      </c>
    </row>
    <row r="130" spans="1:9" x14ac:dyDescent="0.3">
      <c r="A130" s="2" t="s">
        <v>41</v>
      </c>
      <c r="B130" s="2" t="s">
        <v>45</v>
      </c>
      <c r="C130" s="2" t="s">
        <v>18</v>
      </c>
      <c r="D130" s="2" t="s">
        <v>21</v>
      </c>
      <c r="E130" s="20">
        <v>919.18</v>
      </c>
      <c r="F130" s="6">
        <v>4</v>
      </c>
      <c r="G130" s="8">
        <v>0.15</v>
      </c>
      <c r="H130" s="7">
        <v>45615</v>
      </c>
      <c r="I130" s="25">
        <v>195.33</v>
      </c>
    </row>
    <row r="131" spans="1:9" x14ac:dyDescent="0.3">
      <c r="A131" s="2" t="s">
        <v>74</v>
      </c>
      <c r="B131" s="2" t="s">
        <v>23</v>
      </c>
      <c r="C131" s="2" t="s">
        <v>11</v>
      </c>
      <c r="D131" s="2" t="s">
        <v>21</v>
      </c>
      <c r="E131" s="20">
        <v>258.51</v>
      </c>
      <c r="F131" s="6">
        <v>19</v>
      </c>
      <c r="G131" s="8">
        <v>0</v>
      </c>
      <c r="H131" s="7">
        <v>45616</v>
      </c>
      <c r="I131" s="25">
        <v>64.63</v>
      </c>
    </row>
    <row r="132" spans="1:9" x14ac:dyDescent="0.3">
      <c r="A132" s="2" t="s">
        <v>63</v>
      </c>
      <c r="B132" s="2" t="s">
        <v>61</v>
      </c>
      <c r="C132" s="2" t="s">
        <v>18</v>
      </c>
      <c r="D132" s="2" t="s">
        <v>12</v>
      </c>
      <c r="E132" s="20">
        <v>1213.48</v>
      </c>
      <c r="F132" s="6">
        <v>5</v>
      </c>
      <c r="G132" s="8">
        <v>0.05</v>
      </c>
      <c r="H132" s="7">
        <v>45616</v>
      </c>
      <c r="I132" s="25">
        <v>461.12</v>
      </c>
    </row>
    <row r="133" spans="1:9" x14ac:dyDescent="0.3">
      <c r="A133" s="2" t="s">
        <v>57</v>
      </c>
      <c r="B133" s="2" t="s">
        <v>38</v>
      </c>
      <c r="C133" s="2" t="s">
        <v>34</v>
      </c>
      <c r="D133" s="2" t="s">
        <v>12</v>
      </c>
      <c r="E133" s="20">
        <v>1150.28</v>
      </c>
      <c r="F133" s="6">
        <v>8</v>
      </c>
      <c r="G133" s="8">
        <v>0.05</v>
      </c>
      <c r="H133" s="7">
        <v>45622</v>
      </c>
      <c r="I133" s="25">
        <v>437.11</v>
      </c>
    </row>
    <row r="134" spans="1:9" x14ac:dyDescent="0.3">
      <c r="A134" s="2" t="s">
        <v>37</v>
      </c>
      <c r="B134" s="2" t="s">
        <v>71</v>
      </c>
      <c r="C134" s="2" t="s">
        <v>20</v>
      </c>
      <c r="D134" s="2" t="s">
        <v>27</v>
      </c>
      <c r="E134" s="20">
        <v>853.86</v>
      </c>
      <c r="F134" s="6">
        <v>8</v>
      </c>
      <c r="G134" s="8">
        <v>0.1</v>
      </c>
      <c r="H134" s="7">
        <v>45622</v>
      </c>
      <c r="I134" s="25">
        <v>268.97000000000003</v>
      </c>
    </row>
    <row r="135" spans="1:9" x14ac:dyDescent="0.3">
      <c r="A135" s="2" t="s">
        <v>75</v>
      </c>
      <c r="B135" s="2" t="s">
        <v>45</v>
      </c>
      <c r="C135" s="2" t="s">
        <v>20</v>
      </c>
      <c r="D135" s="2" t="s">
        <v>21</v>
      </c>
      <c r="E135" s="20">
        <v>1061.04</v>
      </c>
      <c r="F135" s="6">
        <v>1</v>
      </c>
      <c r="G135" s="8">
        <v>0</v>
      </c>
      <c r="H135" s="7">
        <v>45624</v>
      </c>
      <c r="I135" s="25">
        <v>265.26</v>
      </c>
    </row>
    <row r="136" spans="1:9" x14ac:dyDescent="0.3">
      <c r="A136" s="2" t="s">
        <v>28</v>
      </c>
      <c r="B136" s="2" t="s">
        <v>43</v>
      </c>
      <c r="C136" s="2" t="s">
        <v>11</v>
      </c>
      <c r="D136" s="2" t="s">
        <v>21</v>
      </c>
      <c r="E136" s="20">
        <v>894.55</v>
      </c>
      <c r="F136" s="6">
        <v>19</v>
      </c>
      <c r="G136" s="8">
        <v>0.2</v>
      </c>
      <c r="H136" s="7">
        <v>45625</v>
      </c>
      <c r="I136" s="25">
        <v>178.91</v>
      </c>
    </row>
    <row r="137" spans="1:9" x14ac:dyDescent="0.3">
      <c r="A137" s="2" t="s">
        <v>25</v>
      </c>
      <c r="B137" s="2" t="s">
        <v>38</v>
      </c>
      <c r="C137" s="2" t="s">
        <v>24</v>
      </c>
      <c r="D137" s="2" t="s">
        <v>39</v>
      </c>
      <c r="E137" s="20">
        <v>833.91</v>
      </c>
      <c r="F137" s="6">
        <v>3</v>
      </c>
      <c r="G137" s="8">
        <v>0.05</v>
      </c>
      <c r="H137" s="7">
        <v>45626</v>
      </c>
      <c r="I137" s="25">
        <v>356.5</v>
      </c>
    </row>
    <row r="138" spans="1:9" x14ac:dyDescent="0.3">
      <c r="A138" s="2" t="s">
        <v>58</v>
      </c>
      <c r="B138" s="2" t="s">
        <v>71</v>
      </c>
      <c r="C138" s="2" t="s">
        <v>11</v>
      </c>
      <c r="D138" s="2" t="s">
        <v>27</v>
      </c>
      <c r="E138" s="20">
        <v>820.19</v>
      </c>
      <c r="F138" s="6">
        <v>4</v>
      </c>
      <c r="G138" s="8">
        <v>0.2</v>
      </c>
      <c r="H138" s="7">
        <v>45630</v>
      </c>
      <c r="I138" s="25">
        <v>229.65</v>
      </c>
    </row>
    <row r="139" spans="1:9" x14ac:dyDescent="0.3">
      <c r="A139" s="2" t="s">
        <v>58</v>
      </c>
      <c r="B139" s="2" t="s">
        <v>38</v>
      </c>
      <c r="C139" s="2" t="s">
        <v>34</v>
      </c>
      <c r="D139" s="2" t="s">
        <v>21</v>
      </c>
      <c r="E139" s="20">
        <v>511.74</v>
      </c>
      <c r="F139" s="6">
        <v>8</v>
      </c>
      <c r="G139" s="8">
        <v>0.05</v>
      </c>
      <c r="H139" s="7">
        <v>45631</v>
      </c>
      <c r="I139" s="25">
        <v>121.54</v>
      </c>
    </row>
    <row r="140" spans="1:9" x14ac:dyDescent="0.3">
      <c r="A140" s="2" t="s">
        <v>65</v>
      </c>
      <c r="B140" s="2" t="s">
        <v>61</v>
      </c>
      <c r="C140" s="2" t="s">
        <v>20</v>
      </c>
      <c r="D140" s="2" t="s">
        <v>27</v>
      </c>
      <c r="E140" s="20">
        <v>806.03</v>
      </c>
      <c r="F140" s="6">
        <v>19</v>
      </c>
      <c r="G140" s="8">
        <v>0.05</v>
      </c>
      <c r="H140" s="7">
        <v>45638</v>
      </c>
      <c r="I140" s="25">
        <v>268</v>
      </c>
    </row>
    <row r="141" spans="1:9" x14ac:dyDescent="0.3">
      <c r="A141" s="2" t="s">
        <v>28</v>
      </c>
      <c r="B141" s="2" t="s">
        <v>26</v>
      </c>
      <c r="C141" s="2" t="s">
        <v>34</v>
      </c>
      <c r="D141" s="2" t="s">
        <v>27</v>
      </c>
      <c r="E141" s="20">
        <v>1432.47</v>
      </c>
      <c r="F141" s="6">
        <v>16</v>
      </c>
      <c r="G141" s="8">
        <v>0.15</v>
      </c>
      <c r="H141" s="7">
        <v>45640</v>
      </c>
      <c r="I141" s="25">
        <v>426.16</v>
      </c>
    </row>
    <row r="142" spans="1:9" x14ac:dyDescent="0.3">
      <c r="A142" s="2" t="s">
        <v>74</v>
      </c>
      <c r="B142" s="2" t="s">
        <v>29</v>
      </c>
      <c r="C142" s="2" t="s">
        <v>34</v>
      </c>
      <c r="D142" s="2" t="s">
        <v>21</v>
      </c>
      <c r="E142" s="20">
        <v>1488.58</v>
      </c>
      <c r="F142" s="6">
        <v>10</v>
      </c>
      <c r="G142" s="8">
        <v>0.15</v>
      </c>
      <c r="H142" s="7">
        <v>45640</v>
      </c>
      <c r="I142" s="25">
        <v>316.32</v>
      </c>
    </row>
    <row r="143" spans="1:9" x14ac:dyDescent="0.3">
      <c r="A143" s="2" t="s">
        <v>30</v>
      </c>
      <c r="B143" s="2" t="s">
        <v>66</v>
      </c>
      <c r="C143" s="2" t="s">
        <v>18</v>
      </c>
      <c r="D143" s="2" t="s">
        <v>12</v>
      </c>
      <c r="E143" s="20">
        <v>1231.26</v>
      </c>
      <c r="F143" s="6">
        <v>9</v>
      </c>
      <c r="G143" s="8">
        <v>0</v>
      </c>
      <c r="H143" s="7">
        <v>45646</v>
      </c>
      <c r="I143" s="25">
        <v>492.5</v>
      </c>
    </row>
    <row r="144" spans="1:9" x14ac:dyDescent="0.3">
      <c r="A144" s="2" t="s">
        <v>30</v>
      </c>
      <c r="B144" s="2" t="s">
        <v>43</v>
      </c>
      <c r="C144" s="2" t="s">
        <v>11</v>
      </c>
      <c r="D144" s="2" t="s">
        <v>21</v>
      </c>
      <c r="E144" s="20">
        <v>1161.67</v>
      </c>
      <c r="F144" s="6">
        <v>19</v>
      </c>
      <c r="G144" s="8">
        <v>0.2</v>
      </c>
      <c r="H144" s="7">
        <v>45647</v>
      </c>
      <c r="I144" s="25">
        <v>232.33</v>
      </c>
    </row>
    <row r="145" spans="1:9" x14ac:dyDescent="0.3">
      <c r="A145" s="2" t="s">
        <v>49</v>
      </c>
      <c r="B145" s="2" t="s">
        <v>45</v>
      </c>
      <c r="C145" s="2" t="s">
        <v>34</v>
      </c>
      <c r="D145" s="2" t="s">
        <v>39</v>
      </c>
      <c r="E145" s="20">
        <v>388.23</v>
      </c>
      <c r="F145" s="6">
        <v>16</v>
      </c>
      <c r="G145" s="8">
        <v>0.05</v>
      </c>
      <c r="H145" s="7">
        <v>45650</v>
      </c>
      <c r="I145" s="25">
        <v>165.97</v>
      </c>
    </row>
    <row r="146" spans="1:9" x14ac:dyDescent="0.3">
      <c r="A146" s="2" t="s">
        <v>72</v>
      </c>
      <c r="B146" s="2" t="s">
        <v>31</v>
      </c>
      <c r="C146" s="2" t="s">
        <v>24</v>
      </c>
      <c r="D146" s="2" t="s">
        <v>15</v>
      </c>
      <c r="E146" s="20">
        <v>1589.42</v>
      </c>
      <c r="F146" s="6">
        <v>6</v>
      </c>
      <c r="G146" s="8">
        <v>0.15</v>
      </c>
      <c r="H146" s="7">
        <v>45651</v>
      </c>
      <c r="I146" s="25">
        <v>675.5</v>
      </c>
    </row>
    <row r="147" spans="1:9" x14ac:dyDescent="0.3">
      <c r="A147" s="2" t="s">
        <v>28</v>
      </c>
      <c r="B147" s="2" t="s">
        <v>71</v>
      </c>
      <c r="C147" s="2" t="s">
        <v>24</v>
      </c>
      <c r="D147" s="2" t="s">
        <v>15</v>
      </c>
      <c r="E147" s="20">
        <v>336.66</v>
      </c>
      <c r="F147" s="6">
        <v>13</v>
      </c>
      <c r="G147" s="8">
        <v>0.2</v>
      </c>
      <c r="H147" s="7">
        <v>45651</v>
      </c>
      <c r="I147" s="25">
        <v>134.66</v>
      </c>
    </row>
    <row r="148" spans="1:9" x14ac:dyDescent="0.3">
      <c r="A148" s="2" t="s">
        <v>49</v>
      </c>
      <c r="B148" s="2" t="s">
        <v>23</v>
      </c>
      <c r="C148" s="2" t="s">
        <v>11</v>
      </c>
      <c r="D148" s="2" t="s">
        <v>12</v>
      </c>
      <c r="E148" s="20">
        <v>1353.79</v>
      </c>
      <c r="F148" s="6">
        <v>14</v>
      </c>
      <c r="G148" s="8">
        <v>0.1</v>
      </c>
      <c r="H148" s="7">
        <v>45656</v>
      </c>
      <c r="I148" s="25">
        <v>487.36</v>
      </c>
    </row>
    <row r="149" spans="1:9" x14ac:dyDescent="0.3">
      <c r="A149" s="2" t="s">
        <v>63</v>
      </c>
      <c r="B149" s="2" t="s">
        <v>69</v>
      </c>
      <c r="C149" s="2" t="s">
        <v>34</v>
      </c>
      <c r="D149" s="2" t="s">
        <v>15</v>
      </c>
      <c r="E149" s="20">
        <v>662.61</v>
      </c>
      <c r="F149" s="6">
        <v>11</v>
      </c>
      <c r="G149" s="8">
        <v>0.05</v>
      </c>
      <c r="H149" s="7">
        <v>45658</v>
      </c>
      <c r="I149" s="25">
        <v>314.74</v>
      </c>
    </row>
    <row r="150" spans="1:9" x14ac:dyDescent="0.3">
      <c r="A150" s="2" t="s">
        <v>52</v>
      </c>
      <c r="B150" s="2" t="s">
        <v>48</v>
      </c>
      <c r="C150" s="2" t="s">
        <v>24</v>
      </c>
      <c r="D150" s="2" t="s">
        <v>39</v>
      </c>
      <c r="E150" s="20">
        <v>309.42</v>
      </c>
      <c r="F150" s="6">
        <v>1</v>
      </c>
      <c r="G150" s="8">
        <v>0.2</v>
      </c>
      <c r="H150" s="7">
        <v>45658</v>
      </c>
      <c r="I150" s="25">
        <v>111.39</v>
      </c>
    </row>
    <row r="151" spans="1:9" x14ac:dyDescent="0.3">
      <c r="A151" s="2" t="s">
        <v>63</v>
      </c>
      <c r="B151" s="2" t="s">
        <v>29</v>
      </c>
      <c r="C151" s="2" t="s">
        <v>24</v>
      </c>
      <c r="D151" s="2" t="s">
        <v>12</v>
      </c>
      <c r="E151" s="20">
        <v>884.63</v>
      </c>
      <c r="F151" s="6">
        <v>18</v>
      </c>
      <c r="G151" s="8">
        <v>0.1</v>
      </c>
      <c r="H151" s="7">
        <v>45659</v>
      </c>
      <c r="I151" s="25">
        <v>318.47000000000003</v>
      </c>
    </row>
    <row r="152" spans="1:9" x14ac:dyDescent="0.3">
      <c r="A152" s="2" t="s">
        <v>52</v>
      </c>
      <c r="B152" s="2" t="s">
        <v>23</v>
      </c>
      <c r="C152" s="2" t="s">
        <v>34</v>
      </c>
      <c r="D152" s="2" t="s">
        <v>39</v>
      </c>
      <c r="E152" s="20">
        <v>745.05</v>
      </c>
      <c r="F152" s="6">
        <v>10</v>
      </c>
      <c r="G152" s="8">
        <v>0.1</v>
      </c>
      <c r="H152" s="7">
        <v>45660</v>
      </c>
      <c r="I152" s="25">
        <v>301.75</v>
      </c>
    </row>
    <row r="153" spans="1:9" x14ac:dyDescent="0.3">
      <c r="A153" s="2" t="s">
        <v>60</v>
      </c>
      <c r="B153" s="2" t="s">
        <v>17</v>
      </c>
      <c r="C153" s="2" t="s">
        <v>20</v>
      </c>
      <c r="D153" s="2" t="s">
        <v>15</v>
      </c>
      <c r="E153" s="20">
        <v>870.23</v>
      </c>
      <c r="F153" s="6">
        <v>5</v>
      </c>
      <c r="G153" s="8">
        <v>0.05</v>
      </c>
      <c r="H153" s="7">
        <v>45660</v>
      </c>
      <c r="I153" s="25">
        <v>413.36</v>
      </c>
    </row>
    <row r="154" spans="1:9" x14ac:dyDescent="0.3">
      <c r="A154" s="2" t="s">
        <v>35</v>
      </c>
      <c r="B154" s="2" t="s">
        <v>29</v>
      </c>
      <c r="C154" s="2" t="s">
        <v>11</v>
      </c>
      <c r="D154" s="2" t="s">
        <v>27</v>
      </c>
      <c r="E154" s="20">
        <v>862.19</v>
      </c>
      <c r="F154" s="6">
        <v>18</v>
      </c>
      <c r="G154" s="8">
        <v>0.05</v>
      </c>
      <c r="H154" s="7">
        <v>45663</v>
      </c>
      <c r="I154" s="25">
        <v>286.68</v>
      </c>
    </row>
    <row r="155" spans="1:9" x14ac:dyDescent="0.3">
      <c r="A155" s="2" t="s">
        <v>73</v>
      </c>
      <c r="B155" s="2" t="s">
        <v>59</v>
      </c>
      <c r="C155" s="2" t="s">
        <v>24</v>
      </c>
      <c r="D155" s="2" t="s">
        <v>15</v>
      </c>
      <c r="E155" s="20">
        <v>1171.18</v>
      </c>
      <c r="F155" s="6">
        <v>19</v>
      </c>
      <c r="G155" s="8">
        <v>0.05</v>
      </c>
      <c r="H155" s="7">
        <v>45667</v>
      </c>
      <c r="I155" s="25">
        <v>556.30999999999995</v>
      </c>
    </row>
    <row r="156" spans="1:9" x14ac:dyDescent="0.3">
      <c r="A156" s="2" t="s">
        <v>58</v>
      </c>
      <c r="B156" s="2" t="s">
        <v>14</v>
      </c>
      <c r="C156" s="2" t="s">
        <v>20</v>
      </c>
      <c r="D156" s="2" t="s">
        <v>27</v>
      </c>
      <c r="E156" s="20">
        <v>1054.56</v>
      </c>
      <c r="F156" s="6">
        <v>11</v>
      </c>
      <c r="G156" s="8">
        <v>0.1</v>
      </c>
      <c r="H156" s="7">
        <v>45669</v>
      </c>
      <c r="I156" s="25">
        <v>332.19</v>
      </c>
    </row>
    <row r="157" spans="1:9" x14ac:dyDescent="0.3">
      <c r="A157" s="2" t="s">
        <v>58</v>
      </c>
      <c r="B157" s="2" t="s">
        <v>23</v>
      </c>
      <c r="C157" s="2" t="s">
        <v>24</v>
      </c>
      <c r="D157" s="2" t="s">
        <v>21</v>
      </c>
      <c r="E157" s="20">
        <v>1681.21</v>
      </c>
      <c r="F157" s="6">
        <v>5</v>
      </c>
      <c r="G157" s="8">
        <v>0.2</v>
      </c>
      <c r="H157" s="7">
        <v>45670</v>
      </c>
      <c r="I157" s="25">
        <v>336.24</v>
      </c>
    </row>
    <row r="158" spans="1:9" x14ac:dyDescent="0.3">
      <c r="A158" s="2" t="s">
        <v>58</v>
      </c>
      <c r="B158" s="2" t="s">
        <v>36</v>
      </c>
      <c r="C158" s="2" t="s">
        <v>11</v>
      </c>
      <c r="D158" s="2" t="s">
        <v>15</v>
      </c>
      <c r="E158" s="20">
        <v>379.77</v>
      </c>
      <c r="F158" s="6">
        <v>9</v>
      </c>
      <c r="G158" s="8">
        <v>0.05</v>
      </c>
      <c r="H158" s="7">
        <v>45673</v>
      </c>
      <c r="I158" s="25">
        <v>180.39</v>
      </c>
    </row>
    <row r="159" spans="1:9" x14ac:dyDescent="0.3">
      <c r="A159" s="2" t="s">
        <v>44</v>
      </c>
      <c r="B159" s="2" t="s">
        <v>45</v>
      </c>
      <c r="C159" s="2" t="s">
        <v>34</v>
      </c>
      <c r="D159" s="2" t="s">
        <v>15</v>
      </c>
      <c r="E159" s="20">
        <v>1076.33</v>
      </c>
      <c r="F159" s="6">
        <v>2</v>
      </c>
      <c r="G159" s="8">
        <v>0.1</v>
      </c>
      <c r="H159" s="7">
        <v>45674</v>
      </c>
      <c r="I159" s="25">
        <v>484.35</v>
      </c>
    </row>
    <row r="160" spans="1:9" x14ac:dyDescent="0.3">
      <c r="A160" s="2" t="s">
        <v>44</v>
      </c>
      <c r="B160" s="2" t="s">
        <v>31</v>
      </c>
      <c r="C160" s="2" t="s">
        <v>34</v>
      </c>
      <c r="D160" s="2" t="s">
        <v>39</v>
      </c>
      <c r="E160" s="20">
        <v>1250.71</v>
      </c>
      <c r="F160" s="6">
        <v>7</v>
      </c>
      <c r="G160" s="8">
        <v>0</v>
      </c>
      <c r="H160" s="7">
        <v>45674</v>
      </c>
      <c r="I160" s="25">
        <v>562.82000000000005</v>
      </c>
    </row>
    <row r="161" spans="1:9" x14ac:dyDescent="0.3">
      <c r="A161" s="2" t="s">
        <v>40</v>
      </c>
      <c r="B161" s="2" t="s">
        <v>17</v>
      </c>
      <c r="C161" s="2" t="s">
        <v>20</v>
      </c>
      <c r="D161" s="2" t="s">
        <v>15</v>
      </c>
      <c r="E161" s="20">
        <v>1118.3399999999999</v>
      </c>
      <c r="F161" s="6">
        <v>6</v>
      </c>
      <c r="G161" s="8">
        <v>0.2</v>
      </c>
      <c r="H161" s="7">
        <v>45674</v>
      </c>
      <c r="I161" s="25">
        <v>447.34</v>
      </c>
    </row>
    <row r="162" spans="1:9" x14ac:dyDescent="0.3">
      <c r="A162" s="2" t="s">
        <v>70</v>
      </c>
      <c r="B162" s="2" t="s">
        <v>53</v>
      </c>
      <c r="C162" s="2" t="s">
        <v>24</v>
      </c>
      <c r="D162" s="2" t="s">
        <v>15</v>
      </c>
      <c r="E162" s="20">
        <v>1622.62</v>
      </c>
      <c r="F162" s="6">
        <v>12</v>
      </c>
      <c r="G162" s="8">
        <v>0.2</v>
      </c>
      <c r="H162" s="7">
        <v>45677</v>
      </c>
      <c r="I162" s="25">
        <v>649.04999999999995</v>
      </c>
    </row>
    <row r="163" spans="1:9" x14ac:dyDescent="0.3">
      <c r="A163" s="2" t="s">
        <v>75</v>
      </c>
      <c r="B163" s="2" t="s">
        <v>48</v>
      </c>
      <c r="C163" s="2" t="s">
        <v>24</v>
      </c>
      <c r="D163" s="2" t="s">
        <v>12</v>
      </c>
      <c r="E163" s="20">
        <v>640.64</v>
      </c>
      <c r="F163" s="6">
        <v>11</v>
      </c>
      <c r="G163" s="8">
        <v>0.2</v>
      </c>
      <c r="H163" s="7">
        <v>45678</v>
      </c>
      <c r="I163" s="25">
        <v>205</v>
      </c>
    </row>
    <row r="164" spans="1:9" x14ac:dyDescent="0.3">
      <c r="A164" s="2" t="s">
        <v>22</v>
      </c>
      <c r="B164" s="2" t="s">
        <v>43</v>
      </c>
      <c r="C164" s="2" t="s">
        <v>11</v>
      </c>
      <c r="D164" s="2" t="s">
        <v>15</v>
      </c>
      <c r="E164" s="20">
        <v>585.16</v>
      </c>
      <c r="F164" s="6">
        <v>17</v>
      </c>
      <c r="G164" s="8">
        <v>0.1</v>
      </c>
      <c r="H164" s="7">
        <v>45684</v>
      </c>
      <c r="I164" s="25">
        <v>263.32</v>
      </c>
    </row>
    <row r="165" spans="1:9" x14ac:dyDescent="0.3">
      <c r="A165" s="2" t="s">
        <v>22</v>
      </c>
      <c r="B165" s="2" t="s">
        <v>31</v>
      </c>
      <c r="C165" s="2" t="s">
        <v>18</v>
      </c>
      <c r="D165" s="2" t="s">
        <v>15</v>
      </c>
      <c r="E165" s="20">
        <v>1109.98</v>
      </c>
      <c r="F165" s="6">
        <v>5</v>
      </c>
      <c r="G165" s="8">
        <v>0.2</v>
      </c>
      <c r="H165" s="7">
        <v>45690</v>
      </c>
      <c r="I165" s="25">
        <v>443.99</v>
      </c>
    </row>
    <row r="166" spans="1:9" x14ac:dyDescent="0.3">
      <c r="A166" s="2" t="s">
        <v>58</v>
      </c>
      <c r="B166" s="2" t="s">
        <v>45</v>
      </c>
      <c r="C166" s="2" t="s">
        <v>18</v>
      </c>
      <c r="D166" s="2" t="s">
        <v>12</v>
      </c>
      <c r="E166" s="20">
        <v>1098.08</v>
      </c>
      <c r="F166" s="6">
        <v>9</v>
      </c>
      <c r="G166" s="8">
        <v>0.1</v>
      </c>
      <c r="H166" s="7">
        <v>45692</v>
      </c>
      <c r="I166" s="25">
        <v>395.31</v>
      </c>
    </row>
    <row r="167" spans="1:9" x14ac:dyDescent="0.3">
      <c r="A167" s="2" t="s">
        <v>65</v>
      </c>
      <c r="B167" s="2" t="s">
        <v>48</v>
      </c>
      <c r="C167" s="2" t="s">
        <v>11</v>
      </c>
      <c r="D167" s="2" t="s">
        <v>39</v>
      </c>
      <c r="E167" s="20">
        <v>827.25</v>
      </c>
      <c r="F167" s="6">
        <v>7</v>
      </c>
      <c r="G167" s="8">
        <v>0.1</v>
      </c>
      <c r="H167" s="7">
        <v>45693</v>
      </c>
      <c r="I167" s="25">
        <v>335.04</v>
      </c>
    </row>
    <row r="168" spans="1:9" x14ac:dyDescent="0.3">
      <c r="A168" s="2" t="s">
        <v>70</v>
      </c>
      <c r="B168" s="2" t="s">
        <v>29</v>
      </c>
      <c r="C168" s="2" t="s">
        <v>34</v>
      </c>
      <c r="D168" s="2" t="s">
        <v>15</v>
      </c>
      <c r="E168" s="20">
        <v>741.88</v>
      </c>
      <c r="F168" s="6">
        <v>16</v>
      </c>
      <c r="G168" s="8">
        <v>0.1</v>
      </c>
      <c r="H168" s="7">
        <v>45695</v>
      </c>
      <c r="I168" s="25">
        <v>333.85</v>
      </c>
    </row>
    <row r="169" spans="1:9" x14ac:dyDescent="0.3">
      <c r="A169" s="2" t="s">
        <v>72</v>
      </c>
      <c r="B169" s="2" t="s">
        <v>10</v>
      </c>
      <c r="C169" s="2" t="s">
        <v>18</v>
      </c>
      <c r="D169" s="2" t="s">
        <v>39</v>
      </c>
      <c r="E169" s="20">
        <v>1311.26</v>
      </c>
      <c r="F169" s="6">
        <v>6</v>
      </c>
      <c r="G169" s="8">
        <v>0.1</v>
      </c>
      <c r="H169" s="7">
        <v>45698</v>
      </c>
      <c r="I169" s="25">
        <v>531.05999999999995</v>
      </c>
    </row>
    <row r="170" spans="1:9" x14ac:dyDescent="0.3">
      <c r="A170" s="2" t="s">
        <v>72</v>
      </c>
      <c r="B170" s="2" t="s">
        <v>31</v>
      </c>
      <c r="C170" s="2" t="s">
        <v>20</v>
      </c>
      <c r="D170" s="2" t="s">
        <v>39</v>
      </c>
      <c r="E170" s="20">
        <v>573.32000000000005</v>
      </c>
      <c r="F170" s="6">
        <v>19</v>
      </c>
      <c r="G170" s="8">
        <v>0.1</v>
      </c>
      <c r="H170" s="7">
        <v>45703</v>
      </c>
      <c r="I170" s="25">
        <v>232.19</v>
      </c>
    </row>
    <row r="171" spans="1:9" x14ac:dyDescent="0.3">
      <c r="A171" s="2" t="s">
        <v>52</v>
      </c>
      <c r="B171" s="2" t="s">
        <v>23</v>
      </c>
      <c r="C171" s="2" t="s">
        <v>11</v>
      </c>
      <c r="D171" s="2" t="s">
        <v>21</v>
      </c>
      <c r="E171" s="20">
        <v>1115.22</v>
      </c>
      <c r="F171" s="6">
        <v>14</v>
      </c>
      <c r="G171" s="8">
        <v>0.2</v>
      </c>
      <c r="H171" s="7">
        <v>45705</v>
      </c>
      <c r="I171" s="25">
        <v>223.04</v>
      </c>
    </row>
    <row r="172" spans="1:9" x14ac:dyDescent="0.3">
      <c r="A172" s="2" t="s">
        <v>13</v>
      </c>
      <c r="B172" s="2" t="s">
        <v>45</v>
      </c>
      <c r="C172" s="2" t="s">
        <v>24</v>
      </c>
      <c r="D172" s="2" t="s">
        <v>15</v>
      </c>
      <c r="E172" s="20">
        <v>845.84</v>
      </c>
      <c r="F172" s="6">
        <v>4</v>
      </c>
      <c r="G172" s="8">
        <v>0</v>
      </c>
      <c r="H172" s="7">
        <v>45707</v>
      </c>
      <c r="I172" s="25">
        <v>422.92</v>
      </c>
    </row>
    <row r="173" spans="1:9" x14ac:dyDescent="0.3">
      <c r="A173" s="2" t="s">
        <v>30</v>
      </c>
      <c r="B173" s="2" t="s">
        <v>55</v>
      </c>
      <c r="C173" s="2" t="s">
        <v>11</v>
      </c>
      <c r="D173" s="2" t="s">
        <v>21</v>
      </c>
      <c r="E173" s="20">
        <v>1029.8</v>
      </c>
      <c r="F173" s="6">
        <v>3</v>
      </c>
      <c r="G173" s="8">
        <v>0</v>
      </c>
      <c r="H173" s="7">
        <v>45708</v>
      </c>
      <c r="I173" s="25">
        <v>257.45</v>
      </c>
    </row>
    <row r="174" spans="1:9" x14ac:dyDescent="0.3">
      <c r="A174" s="2" t="s">
        <v>32</v>
      </c>
      <c r="B174" s="2" t="s">
        <v>31</v>
      </c>
      <c r="C174" s="2" t="s">
        <v>24</v>
      </c>
      <c r="D174" s="2" t="s">
        <v>12</v>
      </c>
      <c r="E174" s="20">
        <v>1189.83</v>
      </c>
      <c r="F174" s="6">
        <v>2</v>
      </c>
      <c r="G174" s="8">
        <v>0.2</v>
      </c>
      <c r="H174" s="7">
        <v>45709</v>
      </c>
      <c r="I174" s="25">
        <v>380.75</v>
      </c>
    </row>
    <row r="175" spans="1:9" x14ac:dyDescent="0.3">
      <c r="A175" s="2" t="s">
        <v>67</v>
      </c>
      <c r="B175" s="2" t="s">
        <v>43</v>
      </c>
      <c r="C175" s="2" t="s">
        <v>20</v>
      </c>
      <c r="D175" s="2" t="s">
        <v>12</v>
      </c>
      <c r="E175" s="20">
        <v>704.28</v>
      </c>
      <c r="F175" s="6">
        <v>15</v>
      </c>
      <c r="G175" s="8">
        <v>0.2</v>
      </c>
      <c r="H175" s="7">
        <v>45712</v>
      </c>
      <c r="I175" s="25">
        <v>225.37</v>
      </c>
    </row>
    <row r="176" spans="1:9" x14ac:dyDescent="0.3">
      <c r="A176" s="2" t="s">
        <v>65</v>
      </c>
      <c r="B176" s="2" t="s">
        <v>47</v>
      </c>
      <c r="C176" s="2" t="s">
        <v>34</v>
      </c>
      <c r="D176" s="2" t="s">
        <v>39</v>
      </c>
      <c r="E176" s="20">
        <v>1618.22</v>
      </c>
      <c r="F176" s="6">
        <v>12</v>
      </c>
      <c r="G176" s="8">
        <v>0.2</v>
      </c>
      <c r="H176" s="7">
        <v>45712</v>
      </c>
      <c r="I176" s="25">
        <v>582.55999999999995</v>
      </c>
    </row>
    <row r="177" spans="1:9" x14ac:dyDescent="0.3">
      <c r="A177" s="2" t="s">
        <v>73</v>
      </c>
      <c r="B177" s="2" t="s">
        <v>53</v>
      </c>
      <c r="C177" s="2" t="s">
        <v>34</v>
      </c>
      <c r="D177" s="2" t="s">
        <v>12</v>
      </c>
      <c r="E177" s="20">
        <v>1014.43</v>
      </c>
      <c r="F177" s="6">
        <v>2</v>
      </c>
      <c r="G177" s="8">
        <v>0.15</v>
      </c>
      <c r="H177" s="7">
        <v>45713</v>
      </c>
      <c r="I177" s="25">
        <v>344.91</v>
      </c>
    </row>
    <row r="178" spans="1:9" x14ac:dyDescent="0.3">
      <c r="A178" s="2" t="s">
        <v>75</v>
      </c>
      <c r="B178" s="2" t="s">
        <v>31</v>
      </c>
      <c r="C178" s="2" t="s">
        <v>34</v>
      </c>
      <c r="D178" s="2" t="s">
        <v>15</v>
      </c>
      <c r="E178" s="20">
        <v>826.97</v>
      </c>
      <c r="F178" s="6">
        <v>18</v>
      </c>
      <c r="G178" s="8">
        <v>0.2</v>
      </c>
      <c r="H178" s="7">
        <v>45715</v>
      </c>
      <c r="I178" s="25">
        <v>330.79</v>
      </c>
    </row>
    <row r="179" spans="1:9" x14ac:dyDescent="0.3">
      <c r="A179" s="2" t="s">
        <v>16</v>
      </c>
      <c r="B179" s="2" t="s">
        <v>31</v>
      </c>
      <c r="C179" s="2" t="s">
        <v>34</v>
      </c>
      <c r="D179" s="2" t="s">
        <v>15</v>
      </c>
      <c r="E179" s="20">
        <v>1022.23</v>
      </c>
      <c r="F179" s="6">
        <v>8</v>
      </c>
      <c r="G179" s="8">
        <v>0.1</v>
      </c>
      <c r="H179" s="7">
        <v>45717</v>
      </c>
      <c r="I179" s="25">
        <v>460</v>
      </c>
    </row>
    <row r="180" spans="1:9" x14ac:dyDescent="0.3">
      <c r="A180" s="2" t="s">
        <v>72</v>
      </c>
      <c r="B180" s="2" t="s">
        <v>29</v>
      </c>
      <c r="C180" s="2" t="s">
        <v>18</v>
      </c>
      <c r="D180" s="2" t="s">
        <v>12</v>
      </c>
      <c r="E180" s="20">
        <v>1099.69</v>
      </c>
      <c r="F180" s="6">
        <v>6</v>
      </c>
      <c r="G180" s="8">
        <v>0</v>
      </c>
      <c r="H180" s="7">
        <v>45718</v>
      </c>
      <c r="I180" s="25">
        <v>439.88</v>
      </c>
    </row>
    <row r="181" spans="1:9" x14ac:dyDescent="0.3">
      <c r="A181" s="2" t="s">
        <v>52</v>
      </c>
      <c r="B181" s="2" t="s">
        <v>64</v>
      </c>
      <c r="C181" s="2" t="s">
        <v>24</v>
      </c>
      <c r="D181" s="2" t="s">
        <v>12</v>
      </c>
      <c r="E181" s="20">
        <v>710.52</v>
      </c>
      <c r="F181" s="6">
        <v>8</v>
      </c>
      <c r="G181" s="8">
        <v>0.1</v>
      </c>
      <c r="H181" s="7">
        <v>45721</v>
      </c>
      <c r="I181" s="25">
        <v>255.79</v>
      </c>
    </row>
    <row r="182" spans="1:9" x14ac:dyDescent="0.3">
      <c r="A182" s="2" t="s">
        <v>52</v>
      </c>
      <c r="B182" s="2" t="s">
        <v>59</v>
      </c>
      <c r="C182" s="2" t="s">
        <v>24</v>
      </c>
      <c r="D182" s="2" t="s">
        <v>12</v>
      </c>
      <c r="E182" s="20">
        <v>499.18</v>
      </c>
      <c r="F182" s="6">
        <v>15</v>
      </c>
      <c r="G182" s="8">
        <v>0.2</v>
      </c>
      <c r="H182" s="7">
        <v>45724</v>
      </c>
      <c r="I182" s="25">
        <v>159.74</v>
      </c>
    </row>
    <row r="183" spans="1:9" x14ac:dyDescent="0.3">
      <c r="A183" s="2" t="s">
        <v>37</v>
      </c>
      <c r="B183" s="2" t="s">
        <v>38</v>
      </c>
      <c r="C183" s="2" t="s">
        <v>20</v>
      </c>
      <c r="D183" s="2" t="s">
        <v>12</v>
      </c>
      <c r="E183" s="20">
        <v>1064.19</v>
      </c>
      <c r="F183" s="6">
        <v>18</v>
      </c>
      <c r="G183" s="8">
        <v>0.05</v>
      </c>
      <c r="H183" s="7">
        <v>45725</v>
      </c>
      <c r="I183" s="25">
        <v>404.39</v>
      </c>
    </row>
    <row r="184" spans="1:9" x14ac:dyDescent="0.3">
      <c r="A184" s="2" t="s">
        <v>67</v>
      </c>
      <c r="B184" s="2" t="s">
        <v>38</v>
      </c>
      <c r="C184" s="2" t="s">
        <v>18</v>
      </c>
      <c r="D184" s="2" t="s">
        <v>39</v>
      </c>
      <c r="E184" s="20">
        <v>438.76</v>
      </c>
      <c r="F184" s="6">
        <v>18</v>
      </c>
      <c r="G184" s="8">
        <v>0.05</v>
      </c>
      <c r="H184" s="7">
        <v>45726</v>
      </c>
      <c r="I184" s="25">
        <v>187.57</v>
      </c>
    </row>
    <row r="185" spans="1:9" x14ac:dyDescent="0.3">
      <c r="A185" s="2" t="s">
        <v>41</v>
      </c>
      <c r="B185" s="2" t="s">
        <v>55</v>
      </c>
      <c r="C185" s="2" t="s">
        <v>11</v>
      </c>
      <c r="D185" s="2" t="s">
        <v>15</v>
      </c>
      <c r="E185" s="20">
        <v>864.98</v>
      </c>
      <c r="F185" s="6">
        <v>2</v>
      </c>
      <c r="G185" s="8">
        <v>0.05</v>
      </c>
      <c r="H185" s="7">
        <v>45727</v>
      </c>
      <c r="I185" s="25">
        <v>410.87</v>
      </c>
    </row>
    <row r="186" spans="1:9" x14ac:dyDescent="0.3">
      <c r="A186" s="2" t="s">
        <v>57</v>
      </c>
      <c r="B186" s="2" t="s">
        <v>55</v>
      </c>
      <c r="C186" s="2" t="s">
        <v>11</v>
      </c>
      <c r="D186" s="2" t="s">
        <v>27</v>
      </c>
      <c r="E186" s="20">
        <v>984.93</v>
      </c>
      <c r="F186" s="6">
        <v>14</v>
      </c>
      <c r="G186" s="8">
        <v>0.2</v>
      </c>
      <c r="H186" s="7">
        <v>45733</v>
      </c>
      <c r="I186" s="25">
        <v>275.77999999999997</v>
      </c>
    </row>
    <row r="187" spans="1:9" x14ac:dyDescent="0.3">
      <c r="A187" s="2" t="s">
        <v>25</v>
      </c>
      <c r="B187" s="2" t="s">
        <v>55</v>
      </c>
      <c r="C187" s="2" t="s">
        <v>11</v>
      </c>
      <c r="D187" s="2" t="s">
        <v>15</v>
      </c>
      <c r="E187" s="20">
        <v>1493.49</v>
      </c>
      <c r="F187" s="6">
        <v>18</v>
      </c>
      <c r="G187" s="8">
        <v>0</v>
      </c>
      <c r="H187" s="7">
        <v>45734</v>
      </c>
      <c r="I187" s="25">
        <v>746.74</v>
      </c>
    </row>
    <row r="188" spans="1:9" x14ac:dyDescent="0.3">
      <c r="A188" s="2" t="s">
        <v>32</v>
      </c>
      <c r="B188" s="2" t="s">
        <v>53</v>
      </c>
      <c r="C188" s="2" t="s">
        <v>20</v>
      </c>
      <c r="D188" s="2" t="s">
        <v>15</v>
      </c>
      <c r="E188" s="20">
        <v>689.43</v>
      </c>
      <c r="F188" s="6">
        <v>9</v>
      </c>
      <c r="G188" s="8">
        <v>0.1</v>
      </c>
      <c r="H188" s="7">
        <v>45736</v>
      </c>
      <c r="I188" s="25">
        <v>310.24</v>
      </c>
    </row>
    <row r="189" spans="1:9" x14ac:dyDescent="0.3">
      <c r="A189" s="2" t="s">
        <v>40</v>
      </c>
      <c r="B189" s="2" t="s">
        <v>59</v>
      </c>
      <c r="C189" s="2" t="s">
        <v>20</v>
      </c>
      <c r="D189" s="2" t="s">
        <v>15</v>
      </c>
      <c r="E189" s="20">
        <v>682.24</v>
      </c>
      <c r="F189" s="6">
        <v>1</v>
      </c>
      <c r="G189" s="8">
        <v>0</v>
      </c>
      <c r="H189" s="7">
        <v>45738</v>
      </c>
      <c r="I189" s="25">
        <v>341.12</v>
      </c>
    </row>
    <row r="190" spans="1:9" x14ac:dyDescent="0.3">
      <c r="A190" s="2" t="s">
        <v>41</v>
      </c>
      <c r="B190" s="2" t="s">
        <v>26</v>
      </c>
      <c r="C190" s="2" t="s">
        <v>24</v>
      </c>
      <c r="D190" s="2" t="s">
        <v>21</v>
      </c>
      <c r="E190" s="20">
        <v>458.54</v>
      </c>
      <c r="F190" s="6">
        <v>15</v>
      </c>
      <c r="G190" s="8">
        <v>0.2</v>
      </c>
      <c r="H190" s="7">
        <v>45741</v>
      </c>
      <c r="I190" s="25">
        <v>91.71</v>
      </c>
    </row>
    <row r="191" spans="1:9" x14ac:dyDescent="0.3">
      <c r="A191" s="2" t="s">
        <v>32</v>
      </c>
      <c r="B191" s="2" t="s">
        <v>26</v>
      </c>
      <c r="C191" s="2" t="s">
        <v>20</v>
      </c>
      <c r="D191" s="2" t="s">
        <v>27</v>
      </c>
      <c r="E191" s="20">
        <v>1184.25</v>
      </c>
      <c r="F191" s="6">
        <v>11</v>
      </c>
      <c r="G191" s="8">
        <v>0.2</v>
      </c>
      <c r="H191" s="7">
        <v>45742</v>
      </c>
      <c r="I191" s="25">
        <v>331.59</v>
      </c>
    </row>
    <row r="192" spans="1:9" x14ac:dyDescent="0.3">
      <c r="A192" s="2" t="s">
        <v>25</v>
      </c>
      <c r="B192" s="2" t="s">
        <v>10</v>
      </c>
      <c r="C192" s="2" t="s">
        <v>20</v>
      </c>
      <c r="D192" s="2" t="s">
        <v>15</v>
      </c>
      <c r="E192" s="20">
        <v>762.14</v>
      </c>
      <c r="F192" s="6">
        <v>9</v>
      </c>
      <c r="G192" s="8">
        <v>0</v>
      </c>
      <c r="H192" s="7">
        <v>45743</v>
      </c>
      <c r="I192" s="25">
        <v>381.07</v>
      </c>
    </row>
    <row r="193" spans="1:9" x14ac:dyDescent="0.3">
      <c r="A193" s="2" t="s">
        <v>22</v>
      </c>
      <c r="B193" s="2" t="s">
        <v>53</v>
      </c>
      <c r="C193" s="2" t="s">
        <v>24</v>
      </c>
      <c r="D193" s="2" t="s">
        <v>12</v>
      </c>
      <c r="E193" s="20">
        <v>750.71</v>
      </c>
      <c r="F193" s="6">
        <v>10</v>
      </c>
      <c r="G193" s="8">
        <v>0.15</v>
      </c>
      <c r="H193" s="7">
        <v>45743</v>
      </c>
      <c r="I193" s="25">
        <v>255.24</v>
      </c>
    </row>
    <row r="194" spans="1:9" x14ac:dyDescent="0.3">
      <c r="A194" s="2" t="s">
        <v>75</v>
      </c>
      <c r="B194" s="2" t="s">
        <v>71</v>
      </c>
      <c r="C194" s="2" t="s">
        <v>34</v>
      </c>
      <c r="D194" s="2" t="s">
        <v>15</v>
      </c>
      <c r="E194" s="20">
        <v>1456.94</v>
      </c>
      <c r="F194" s="6">
        <v>14</v>
      </c>
      <c r="G194" s="8">
        <v>0.05</v>
      </c>
      <c r="H194" s="7">
        <v>45745</v>
      </c>
      <c r="I194" s="25">
        <v>692.05</v>
      </c>
    </row>
    <row r="195" spans="1:9" x14ac:dyDescent="0.3">
      <c r="A195" s="2" t="s">
        <v>44</v>
      </c>
      <c r="B195" s="2" t="s">
        <v>61</v>
      </c>
      <c r="C195" s="2" t="s">
        <v>18</v>
      </c>
      <c r="D195" s="2" t="s">
        <v>27</v>
      </c>
      <c r="E195" s="20">
        <v>1093.3800000000001</v>
      </c>
      <c r="F195" s="6">
        <v>17</v>
      </c>
      <c r="G195" s="8">
        <v>0.1</v>
      </c>
      <c r="H195" s="7">
        <v>45745</v>
      </c>
      <c r="I195" s="25">
        <v>344.41</v>
      </c>
    </row>
    <row r="196" spans="1:9" x14ac:dyDescent="0.3">
      <c r="A196" s="2" t="s">
        <v>37</v>
      </c>
      <c r="B196" s="2" t="s">
        <v>43</v>
      </c>
      <c r="C196" s="2" t="s">
        <v>11</v>
      </c>
      <c r="D196" s="2" t="s">
        <v>15</v>
      </c>
      <c r="E196" s="20">
        <v>934.27</v>
      </c>
      <c r="F196" s="6">
        <v>8</v>
      </c>
      <c r="G196" s="8">
        <v>0.15</v>
      </c>
      <c r="H196" s="7">
        <v>45746</v>
      </c>
      <c r="I196" s="25">
        <v>397.06</v>
      </c>
    </row>
    <row r="197" spans="1:9" x14ac:dyDescent="0.3">
      <c r="A197" s="2" t="s">
        <v>70</v>
      </c>
      <c r="B197" s="2" t="s">
        <v>36</v>
      </c>
      <c r="C197" s="2" t="s">
        <v>34</v>
      </c>
      <c r="D197" s="2" t="s">
        <v>15</v>
      </c>
      <c r="E197" s="20">
        <v>1465.35</v>
      </c>
      <c r="F197" s="6">
        <v>8</v>
      </c>
      <c r="G197" s="8">
        <v>0.2</v>
      </c>
      <c r="H197" s="7">
        <v>45746</v>
      </c>
      <c r="I197" s="25">
        <v>586.14</v>
      </c>
    </row>
    <row r="198" spans="1:9" x14ac:dyDescent="0.3">
      <c r="A198" s="2" t="s">
        <v>52</v>
      </c>
      <c r="B198" s="2" t="s">
        <v>14</v>
      </c>
      <c r="C198" s="2" t="s">
        <v>20</v>
      </c>
      <c r="D198" s="2" t="s">
        <v>39</v>
      </c>
      <c r="E198" s="20">
        <v>740.8</v>
      </c>
      <c r="F198" s="6">
        <v>3</v>
      </c>
      <c r="G198" s="8">
        <v>0</v>
      </c>
      <c r="H198" s="7">
        <v>45749</v>
      </c>
      <c r="I198" s="25">
        <v>333.36</v>
      </c>
    </row>
    <row r="199" spans="1:9" x14ac:dyDescent="0.3">
      <c r="A199" s="2" t="s">
        <v>58</v>
      </c>
      <c r="B199" s="2" t="s">
        <v>43</v>
      </c>
      <c r="C199" s="2" t="s">
        <v>11</v>
      </c>
      <c r="D199" s="2" t="s">
        <v>39</v>
      </c>
      <c r="E199" s="20">
        <v>545.44000000000005</v>
      </c>
      <c r="F199" s="6">
        <v>17</v>
      </c>
      <c r="G199" s="8">
        <v>0</v>
      </c>
      <c r="H199" s="7">
        <v>45752</v>
      </c>
      <c r="I199" s="25">
        <v>245.45</v>
      </c>
    </row>
    <row r="200" spans="1:9" x14ac:dyDescent="0.3">
      <c r="A200" s="2" t="s">
        <v>35</v>
      </c>
      <c r="B200" s="2" t="s">
        <v>36</v>
      </c>
      <c r="C200" s="2" t="s">
        <v>18</v>
      </c>
      <c r="D200" s="2" t="s">
        <v>12</v>
      </c>
      <c r="E200" s="20">
        <v>997.61</v>
      </c>
      <c r="F200" s="6">
        <v>8</v>
      </c>
      <c r="G200" s="8">
        <v>0.05</v>
      </c>
      <c r="H200" s="7">
        <v>45752</v>
      </c>
      <c r="I200" s="25">
        <v>379.09</v>
      </c>
    </row>
    <row r="201" spans="1:9" x14ac:dyDescent="0.3">
      <c r="A201" s="2" t="s">
        <v>60</v>
      </c>
      <c r="B201" s="2" t="s">
        <v>36</v>
      </c>
      <c r="C201" s="2" t="s">
        <v>20</v>
      </c>
      <c r="D201" s="2" t="s">
        <v>15</v>
      </c>
      <c r="E201" s="20">
        <v>928.32</v>
      </c>
      <c r="F201" s="6">
        <v>2</v>
      </c>
      <c r="G201" s="8">
        <v>0.05</v>
      </c>
      <c r="H201" s="7">
        <v>45754</v>
      </c>
      <c r="I201" s="25">
        <v>440.95</v>
      </c>
    </row>
  </sheetData>
  <conditionalFormatting sqref="E2:E201">
    <cfRule type="top10" dxfId="0" priority="3" rank="10"/>
    <cfRule type="top10" priority="4" rank="10"/>
  </conditionalFormatting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7CE356-3778-49B8-8115-5E3BF33D6106}">
  <dimension ref="A1:B8"/>
  <sheetViews>
    <sheetView zoomScale="186" workbookViewId="0">
      <selection activeCell="C10" sqref="C10"/>
    </sheetView>
  </sheetViews>
  <sheetFormatPr defaultRowHeight="14.4" x14ac:dyDescent="0.3"/>
  <cols>
    <col min="1" max="1" width="14.21875" bestFit="1" customWidth="1"/>
    <col min="2" max="2" width="19.44140625" customWidth="1"/>
    <col min="3" max="3" width="16.33203125" bestFit="1" customWidth="1"/>
    <col min="4" max="4" width="9.21875" bestFit="1" customWidth="1"/>
    <col min="5" max="6" width="8.33203125" bestFit="1" customWidth="1"/>
    <col min="7" max="7" width="10.77734375" bestFit="1" customWidth="1"/>
    <col min="8" max="8" width="7.6640625" bestFit="1" customWidth="1"/>
    <col min="9" max="9" width="7.6640625" customWidth="1"/>
    <col min="10" max="10" width="14.21875" bestFit="1" customWidth="1"/>
    <col min="11" max="11" width="11.21875" bestFit="1" customWidth="1"/>
    <col min="12" max="12" width="7.109375" bestFit="1" customWidth="1"/>
    <col min="13" max="13" width="8.21875" bestFit="1" customWidth="1"/>
    <col min="14" max="14" width="8.5546875" bestFit="1" customWidth="1"/>
    <col min="15" max="18" width="9.5546875" bestFit="1" customWidth="1"/>
  </cols>
  <sheetData>
    <row r="1" spans="1:2" x14ac:dyDescent="0.3">
      <c r="A1" s="44" t="s">
        <v>83</v>
      </c>
      <c r="B1" s="44"/>
    </row>
    <row r="2" spans="1:2" x14ac:dyDescent="0.3">
      <c r="A2" t="s">
        <v>77</v>
      </c>
      <c r="B2" t="s">
        <v>78</v>
      </c>
    </row>
    <row r="3" spans="1:2" x14ac:dyDescent="0.3">
      <c r="A3" t="s">
        <v>79</v>
      </c>
      <c r="B3">
        <v>10</v>
      </c>
    </row>
    <row r="4" spans="1:2" x14ac:dyDescent="0.3">
      <c r="A4" t="s">
        <v>76</v>
      </c>
      <c r="B4">
        <v>50000</v>
      </c>
    </row>
    <row r="5" spans="1:2" x14ac:dyDescent="0.3">
      <c r="A5" t="s">
        <v>80</v>
      </c>
      <c r="B5">
        <f>B4*B3</f>
        <v>500000</v>
      </c>
    </row>
    <row r="6" spans="1:2" x14ac:dyDescent="0.3">
      <c r="A6" t="s">
        <v>6</v>
      </c>
      <c r="B6" s="1">
        <v>0.4</v>
      </c>
    </row>
    <row r="7" spans="1:2" x14ac:dyDescent="0.3">
      <c r="A7" t="s">
        <v>81</v>
      </c>
      <c r="B7" s="27">
        <f>B5*B6</f>
        <v>200000</v>
      </c>
    </row>
    <row r="8" spans="1:2" x14ac:dyDescent="0.3">
      <c r="A8" t="s">
        <v>82</v>
      </c>
      <c r="B8" s="27">
        <f>B5-B7</f>
        <v>300000</v>
      </c>
    </row>
  </sheetData>
  <scenarios current="0" show="2">
    <scenario name="20% Discount" locked="1" count="1" user="dharmendra" comment="Created by dharmendra on 10/29/2026_x000a_Modified by dharmendra on 10/29/2026">
      <inputCells r="B6" val="0.2" numFmtId="9"/>
    </scenario>
    <scenario name="30%" locked="1" count="1" user="dharmendra" comment="Created by dharmendra on 10/29/2026">
      <inputCells r="B6" val="0.3" numFmtId="9"/>
    </scenario>
    <scenario name="40%" locked="1" count="1" user="dharmendra" comment="Created by dharmendra on 10/29/2026">
      <inputCells r="B6" val="0.4" numFmtId="9"/>
    </scenario>
  </scenarios>
  <mergeCells count="1">
    <mergeCell ref="A1:B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B41EC2-4DB3-42B8-B041-13C196F4FCAE}">
  <dimension ref="A1:K204"/>
  <sheetViews>
    <sheetView topLeftCell="B5" zoomScale="159" workbookViewId="0">
      <selection activeCell="D7" sqref="A1:H201"/>
    </sheetView>
  </sheetViews>
  <sheetFormatPr defaultRowHeight="14.4" x14ac:dyDescent="0.3"/>
  <cols>
    <col min="1" max="1" width="17.44140625" bestFit="1" customWidth="1"/>
    <col min="2" max="2" width="9" bestFit="1" customWidth="1"/>
    <col min="3" max="3" width="18.5546875" bestFit="1" customWidth="1"/>
    <col min="4" max="4" width="7.44140625" bestFit="1" customWidth="1"/>
    <col min="5" max="6" width="10.5546875" bestFit="1" customWidth="1"/>
    <col min="7" max="7" width="12.88671875" bestFit="1" customWidth="1"/>
    <col min="8" max="8" width="7.88671875" bestFit="1" customWidth="1"/>
  </cols>
  <sheetData>
    <row r="1" spans="1:11" x14ac:dyDescent="0.3">
      <c r="A1" s="18" t="s">
        <v>1</v>
      </c>
      <c r="B1" s="18" t="s">
        <v>2</v>
      </c>
      <c r="C1" s="18" t="s">
        <v>3</v>
      </c>
      <c r="D1" s="18" t="s">
        <v>4</v>
      </c>
      <c r="E1" s="18" t="s">
        <v>5</v>
      </c>
      <c r="F1" s="18" t="s">
        <v>6</v>
      </c>
      <c r="G1" s="18" t="s">
        <v>7</v>
      </c>
      <c r="H1" s="18" t="s">
        <v>8</v>
      </c>
      <c r="J1" s="45" t="s">
        <v>87</v>
      </c>
      <c r="K1" s="45"/>
    </row>
    <row r="2" spans="1:11" x14ac:dyDescent="0.3">
      <c r="A2" s="10" t="s">
        <v>10</v>
      </c>
      <c r="B2" s="10" t="s">
        <v>11</v>
      </c>
      <c r="C2" s="10" t="s">
        <v>12</v>
      </c>
      <c r="D2" s="19">
        <v>1036.0899999999999</v>
      </c>
      <c r="E2" s="11">
        <v>4</v>
      </c>
      <c r="F2" s="12">
        <v>0.2</v>
      </c>
      <c r="G2" s="13">
        <v>45392</v>
      </c>
      <c r="H2" s="22">
        <v>331.55</v>
      </c>
    </row>
    <row r="3" spans="1:11" x14ac:dyDescent="0.3">
      <c r="A3" s="2" t="s">
        <v>14</v>
      </c>
      <c r="B3" s="2" t="s">
        <v>11</v>
      </c>
      <c r="C3" s="2" t="s">
        <v>15</v>
      </c>
      <c r="D3" s="20">
        <v>1101.28</v>
      </c>
      <c r="E3" s="6">
        <v>3</v>
      </c>
      <c r="F3" s="8">
        <v>0.2</v>
      </c>
      <c r="G3" s="7">
        <v>45393</v>
      </c>
      <c r="H3" s="23">
        <v>440.51</v>
      </c>
      <c r="J3" s="28" t="s">
        <v>85</v>
      </c>
      <c r="K3" s="26" t="s">
        <v>84</v>
      </c>
    </row>
    <row r="4" spans="1:11" x14ac:dyDescent="0.3">
      <c r="A4" s="10" t="s">
        <v>17</v>
      </c>
      <c r="B4" s="10" t="s">
        <v>18</v>
      </c>
      <c r="C4" s="10" t="s">
        <v>12</v>
      </c>
      <c r="D4" s="19">
        <v>713.34</v>
      </c>
      <c r="E4" s="11">
        <v>17</v>
      </c>
      <c r="F4" s="12">
        <v>0</v>
      </c>
      <c r="G4" s="13">
        <v>45396</v>
      </c>
      <c r="H4" s="22">
        <v>285.33999999999997</v>
      </c>
      <c r="J4">
        <f>SLOPE(H2:H201,D2:D201)</f>
        <v>0.35085598819512248</v>
      </c>
      <c r="K4" s="9">
        <f t="shared" ref="K4:K35" si="0">$J$4*D2+$J$6</f>
        <v>362.48683031889334</v>
      </c>
    </row>
    <row r="5" spans="1:11" x14ac:dyDescent="0.3">
      <c r="A5" s="2" t="s">
        <v>14</v>
      </c>
      <c r="B5" s="2" t="s">
        <v>20</v>
      </c>
      <c r="C5" s="2" t="s">
        <v>21</v>
      </c>
      <c r="D5" s="20">
        <v>760.93</v>
      </c>
      <c r="E5" s="6">
        <v>4</v>
      </c>
      <c r="F5" s="8">
        <v>0.15</v>
      </c>
      <c r="G5" s="7">
        <v>45396</v>
      </c>
      <c r="H5" s="23">
        <v>161.69999999999999</v>
      </c>
      <c r="J5" s="28" t="s">
        <v>86</v>
      </c>
      <c r="K5" s="9">
        <f t="shared" si="0"/>
        <v>385.35913218933342</v>
      </c>
    </row>
    <row r="6" spans="1:11" x14ac:dyDescent="0.3">
      <c r="A6" s="10" t="s">
        <v>23</v>
      </c>
      <c r="B6" s="10" t="s">
        <v>24</v>
      </c>
      <c r="C6" s="10" t="s">
        <v>12</v>
      </c>
      <c r="D6" s="19">
        <v>847</v>
      </c>
      <c r="E6" s="11">
        <v>12</v>
      </c>
      <c r="F6" s="12">
        <v>0.2</v>
      </c>
      <c r="G6" s="13">
        <v>45397</v>
      </c>
      <c r="H6" s="22">
        <v>271.04000000000002</v>
      </c>
      <c r="J6">
        <f>INTERCEPT(H2:H201,D2:D201)</f>
        <v>-1.0315504901910799</v>
      </c>
      <c r="K6" s="9">
        <f t="shared" si="0"/>
        <v>249.24806012891761</v>
      </c>
    </row>
    <row r="7" spans="1:11" x14ac:dyDescent="0.3">
      <c r="A7" s="2" t="s">
        <v>26</v>
      </c>
      <c r="B7" s="2" t="s">
        <v>24</v>
      </c>
      <c r="C7" s="2" t="s">
        <v>27</v>
      </c>
      <c r="D7" s="20">
        <v>965.64</v>
      </c>
      <c r="E7" s="6">
        <v>8</v>
      </c>
      <c r="F7" s="8">
        <v>0.1</v>
      </c>
      <c r="G7" s="7">
        <v>45398</v>
      </c>
      <c r="H7" s="23">
        <v>304.18</v>
      </c>
      <c r="K7" s="9">
        <f t="shared" si="0"/>
        <v>265.94529660712345</v>
      </c>
    </row>
    <row r="8" spans="1:11" x14ac:dyDescent="0.3">
      <c r="A8" s="10" t="s">
        <v>29</v>
      </c>
      <c r="B8" s="10" t="s">
        <v>11</v>
      </c>
      <c r="C8" s="10" t="s">
        <v>21</v>
      </c>
      <c r="D8" s="19">
        <v>1317.53</v>
      </c>
      <c r="E8" s="11">
        <v>12</v>
      </c>
      <c r="F8" s="12">
        <v>0.05</v>
      </c>
      <c r="G8" s="13">
        <v>45398</v>
      </c>
      <c r="H8" s="22">
        <v>312.91000000000003</v>
      </c>
      <c r="K8" s="9">
        <f>$J$4*D6+$J$6</f>
        <v>296.14347151107768</v>
      </c>
    </row>
    <row r="9" spans="1:11" x14ac:dyDescent="0.3">
      <c r="A9" s="2" t="s">
        <v>31</v>
      </c>
      <c r="B9" s="2" t="s">
        <v>18</v>
      </c>
      <c r="C9" s="2" t="s">
        <v>27</v>
      </c>
      <c r="D9" s="20">
        <v>1074.47</v>
      </c>
      <c r="E9" s="6">
        <v>6</v>
      </c>
      <c r="F9" s="8">
        <v>0.2</v>
      </c>
      <c r="G9" s="7">
        <v>45401</v>
      </c>
      <c r="H9" s="23">
        <v>300.85000000000002</v>
      </c>
      <c r="K9" s="9">
        <f t="shared" si="0"/>
        <v>337.76902595054696</v>
      </c>
    </row>
    <row r="10" spans="1:11" x14ac:dyDescent="0.3">
      <c r="A10" s="10" t="s">
        <v>33</v>
      </c>
      <c r="B10" s="10" t="s">
        <v>34</v>
      </c>
      <c r="C10" s="10" t="s">
        <v>12</v>
      </c>
      <c r="D10" s="19">
        <v>501.54</v>
      </c>
      <c r="E10" s="11">
        <v>11</v>
      </c>
      <c r="F10" s="12">
        <v>0.05</v>
      </c>
      <c r="G10" s="13">
        <v>45401</v>
      </c>
      <c r="H10" s="22">
        <v>190.59</v>
      </c>
      <c r="K10" s="9">
        <f t="shared" si="0"/>
        <v>461.23173963652863</v>
      </c>
    </row>
    <row r="11" spans="1:11" x14ac:dyDescent="0.3">
      <c r="A11" s="2" t="s">
        <v>36</v>
      </c>
      <c r="B11" s="2" t="s">
        <v>34</v>
      </c>
      <c r="C11" s="2" t="s">
        <v>15</v>
      </c>
      <c r="D11" s="20">
        <v>737.31</v>
      </c>
      <c r="E11" s="6">
        <v>2</v>
      </c>
      <c r="F11" s="8">
        <v>0.05</v>
      </c>
      <c r="G11" s="7">
        <v>45401</v>
      </c>
      <c r="H11" s="23">
        <v>350.22</v>
      </c>
      <c r="K11" s="9">
        <f t="shared" si="0"/>
        <v>375.95268314582216</v>
      </c>
    </row>
    <row r="12" spans="1:11" x14ac:dyDescent="0.3">
      <c r="A12" s="10" t="s">
        <v>38</v>
      </c>
      <c r="B12" s="10" t="s">
        <v>11</v>
      </c>
      <c r="C12" s="10" t="s">
        <v>39</v>
      </c>
      <c r="D12" s="19">
        <v>1572.82</v>
      </c>
      <c r="E12" s="11">
        <v>6</v>
      </c>
      <c r="F12" s="12">
        <v>0.05</v>
      </c>
      <c r="G12" s="13">
        <v>45402</v>
      </c>
      <c r="H12" s="22">
        <v>672.38</v>
      </c>
      <c r="K12" s="9">
        <f t="shared" si="0"/>
        <v>174.93676182919066</v>
      </c>
    </row>
    <row r="13" spans="1:11" x14ac:dyDescent="0.3">
      <c r="A13" s="2" t="s">
        <v>36</v>
      </c>
      <c r="B13" s="2" t="s">
        <v>34</v>
      </c>
      <c r="C13" s="2" t="s">
        <v>12</v>
      </c>
      <c r="D13" s="20">
        <v>1343.13</v>
      </c>
      <c r="E13" s="6">
        <v>14</v>
      </c>
      <c r="F13" s="8">
        <v>0.15</v>
      </c>
      <c r="G13" s="7">
        <v>45404</v>
      </c>
      <c r="H13" s="23">
        <v>456.66</v>
      </c>
      <c r="K13" s="9">
        <f t="shared" si="0"/>
        <v>257.65807816595463</v>
      </c>
    </row>
    <row r="14" spans="1:11" x14ac:dyDescent="0.3">
      <c r="A14" s="10" t="s">
        <v>26</v>
      </c>
      <c r="B14" s="10" t="s">
        <v>34</v>
      </c>
      <c r="C14" s="10" t="s">
        <v>12</v>
      </c>
      <c r="D14" s="19">
        <v>1191.58</v>
      </c>
      <c r="E14" s="11">
        <v>14</v>
      </c>
      <c r="F14" s="12">
        <v>0.05</v>
      </c>
      <c r="G14" s="13">
        <v>45406</v>
      </c>
      <c r="H14" s="22">
        <v>452.8</v>
      </c>
      <c r="K14" s="9">
        <f t="shared" si="0"/>
        <v>550.80176486286143</v>
      </c>
    </row>
    <row r="15" spans="1:11" x14ac:dyDescent="0.3">
      <c r="A15" s="2" t="s">
        <v>14</v>
      </c>
      <c r="B15" s="2" t="s">
        <v>11</v>
      </c>
      <c r="C15" s="2" t="s">
        <v>27</v>
      </c>
      <c r="D15" s="20">
        <v>822.28</v>
      </c>
      <c r="E15" s="6">
        <v>7</v>
      </c>
      <c r="F15" s="8">
        <v>0.05</v>
      </c>
      <c r="G15" s="7">
        <v>45406</v>
      </c>
      <c r="H15" s="23">
        <v>273.41000000000003</v>
      </c>
      <c r="K15" s="9">
        <f t="shared" si="0"/>
        <v>470.21365293432382</v>
      </c>
    </row>
    <row r="16" spans="1:11" x14ac:dyDescent="0.3">
      <c r="A16" s="10" t="s">
        <v>42</v>
      </c>
      <c r="B16" s="10" t="s">
        <v>24</v>
      </c>
      <c r="C16" s="10" t="s">
        <v>27</v>
      </c>
      <c r="D16" s="19">
        <v>521.66999999999996</v>
      </c>
      <c r="E16" s="11">
        <v>15</v>
      </c>
      <c r="F16" s="12">
        <v>0.15</v>
      </c>
      <c r="G16" s="13">
        <v>45409</v>
      </c>
      <c r="H16" s="22">
        <v>155.19999999999999</v>
      </c>
      <c r="K16" s="9">
        <f t="shared" si="0"/>
        <v>417.04142792335296</v>
      </c>
    </row>
    <row r="17" spans="1:11" x14ac:dyDescent="0.3">
      <c r="A17" s="2" t="s">
        <v>43</v>
      </c>
      <c r="B17" s="2" t="s">
        <v>20</v>
      </c>
      <c r="C17" s="2" t="s">
        <v>21</v>
      </c>
      <c r="D17" s="20">
        <v>1502.93</v>
      </c>
      <c r="E17" s="6">
        <v>14</v>
      </c>
      <c r="F17" s="8">
        <v>0.2</v>
      </c>
      <c r="G17" s="7">
        <v>45410</v>
      </c>
      <c r="H17" s="23">
        <v>300.58999999999997</v>
      </c>
      <c r="K17" s="9">
        <f t="shared" si="0"/>
        <v>287.4703114828942</v>
      </c>
    </row>
    <row r="18" spans="1:11" x14ac:dyDescent="0.3">
      <c r="A18" s="10" t="s">
        <v>14</v>
      </c>
      <c r="B18" s="10" t="s">
        <v>20</v>
      </c>
      <c r="C18" s="10" t="s">
        <v>12</v>
      </c>
      <c r="D18" s="19">
        <v>877.58</v>
      </c>
      <c r="E18" s="11">
        <v>10</v>
      </c>
      <c r="F18" s="12">
        <v>0.15</v>
      </c>
      <c r="G18" s="13">
        <v>45411</v>
      </c>
      <c r="H18" s="22">
        <v>298.38</v>
      </c>
      <c r="K18" s="9">
        <f t="shared" si="0"/>
        <v>181.99949287155846</v>
      </c>
    </row>
    <row r="19" spans="1:11" x14ac:dyDescent="0.3">
      <c r="A19" s="2" t="s">
        <v>45</v>
      </c>
      <c r="B19" s="2" t="s">
        <v>11</v>
      </c>
      <c r="C19" s="2" t="s">
        <v>12</v>
      </c>
      <c r="D19" s="20">
        <v>636.70000000000005</v>
      </c>
      <c r="E19" s="6">
        <v>4</v>
      </c>
      <c r="F19" s="8">
        <v>0.2</v>
      </c>
      <c r="G19" s="7">
        <v>45411</v>
      </c>
      <c r="H19" s="23">
        <v>203.74</v>
      </c>
      <c r="K19" s="9">
        <f t="shared" si="0"/>
        <v>526.2804398479044</v>
      </c>
    </row>
    <row r="20" spans="1:11" x14ac:dyDescent="0.3">
      <c r="A20" s="10" t="s">
        <v>47</v>
      </c>
      <c r="B20" s="10" t="s">
        <v>11</v>
      </c>
      <c r="C20" s="10" t="s">
        <v>12</v>
      </c>
      <c r="D20" s="19">
        <v>1506.14</v>
      </c>
      <c r="E20" s="11">
        <v>13</v>
      </c>
      <c r="F20" s="12">
        <v>0.2</v>
      </c>
      <c r="G20" s="13">
        <v>45412</v>
      </c>
      <c r="H20" s="22">
        <v>481.96</v>
      </c>
      <c r="K20" s="9">
        <f t="shared" si="0"/>
        <v>306.87264763008454</v>
      </c>
    </row>
    <row r="21" spans="1:11" x14ac:dyDescent="0.3">
      <c r="A21" s="2" t="s">
        <v>31</v>
      </c>
      <c r="B21" s="2" t="s">
        <v>34</v>
      </c>
      <c r="C21" s="2" t="s">
        <v>21</v>
      </c>
      <c r="D21" s="20">
        <v>645.02</v>
      </c>
      <c r="E21" s="6">
        <v>4</v>
      </c>
      <c r="F21" s="8">
        <v>0</v>
      </c>
      <c r="G21" s="7">
        <v>45414</v>
      </c>
      <c r="H21" s="23">
        <v>161.26</v>
      </c>
      <c r="K21" s="9">
        <f t="shared" si="0"/>
        <v>222.35845719364343</v>
      </c>
    </row>
    <row r="22" spans="1:11" x14ac:dyDescent="0.3">
      <c r="A22" s="10" t="s">
        <v>48</v>
      </c>
      <c r="B22" s="10" t="s">
        <v>20</v>
      </c>
      <c r="C22" s="10" t="s">
        <v>15</v>
      </c>
      <c r="D22" s="19">
        <v>953.3</v>
      </c>
      <c r="E22" s="11">
        <v>11</v>
      </c>
      <c r="F22" s="12">
        <v>0</v>
      </c>
      <c r="G22" s="13">
        <v>45415</v>
      </c>
      <c r="H22" s="22">
        <v>476.65</v>
      </c>
      <c r="K22" s="9">
        <f t="shared" si="0"/>
        <v>527.40668757001072</v>
      </c>
    </row>
    <row r="23" spans="1:11" x14ac:dyDescent="0.3">
      <c r="A23" s="2" t="s">
        <v>14</v>
      </c>
      <c r="B23" s="2" t="s">
        <v>24</v>
      </c>
      <c r="C23" s="2" t="s">
        <v>21</v>
      </c>
      <c r="D23" s="20">
        <v>388.56</v>
      </c>
      <c r="E23" s="6">
        <v>14</v>
      </c>
      <c r="F23" s="8">
        <v>0.15</v>
      </c>
      <c r="G23" s="7">
        <v>45416</v>
      </c>
      <c r="H23" s="23">
        <v>82.57</v>
      </c>
      <c r="K23" s="9">
        <f t="shared" si="0"/>
        <v>225.27757901542682</v>
      </c>
    </row>
    <row r="24" spans="1:11" x14ac:dyDescent="0.3">
      <c r="A24" s="10" t="s">
        <v>31</v>
      </c>
      <c r="B24" s="10" t="s">
        <v>11</v>
      </c>
      <c r="C24" s="10" t="s">
        <v>12</v>
      </c>
      <c r="D24" s="19">
        <v>743.17</v>
      </c>
      <c r="E24" s="11">
        <v>9</v>
      </c>
      <c r="F24" s="12">
        <v>0</v>
      </c>
      <c r="G24" s="13">
        <v>45416</v>
      </c>
      <c r="H24" s="22">
        <v>297.27</v>
      </c>
      <c r="K24" s="9">
        <f t="shared" si="0"/>
        <v>333.43946305621915</v>
      </c>
    </row>
    <row r="25" spans="1:11" x14ac:dyDescent="0.3">
      <c r="A25" s="2" t="s">
        <v>31</v>
      </c>
      <c r="B25" s="2" t="s">
        <v>34</v>
      </c>
      <c r="C25" s="2" t="s">
        <v>21</v>
      </c>
      <c r="D25" s="20">
        <v>706.37</v>
      </c>
      <c r="E25" s="6">
        <v>6</v>
      </c>
      <c r="F25" s="8">
        <v>0</v>
      </c>
      <c r="G25" s="7">
        <v>45416</v>
      </c>
      <c r="H25" s="23">
        <v>176.59</v>
      </c>
      <c r="K25" s="9">
        <f t="shared" si="0"/>
        <v>135.29705228290572</v>
      </c>
    </row>
    <row r="26" spans="1:11" x14ac:dyDescent="0.3">
      <c r="A26" s="10" t="s">
        <v>31</v>
      </c>
      <c r="B26" s="10" t="s">
        <v>34</v>
      </c>
      <c r="C26" s="10" t="s">
        <v>39</v>
      </c>
      <c r="D26" s="19">
        <v>925.31</v>
      </c>
      <c r="E26" s="11">
        <v>8</v>
      </c>
      <c r="F26" s="12">
        <v>0.1</v>
      </c>
      <c r="G26" s="13">
        <v>45418</v>
      </c>
      <c r="H26" s="22">
        <v>374.75</v>
      </c>
      <c r="K26" s="9">
        <f t="shared" si="0"/>
        <v>259.71409425677808</v>
      </c>
    </row>
    <row r="27" spans="1:11" x14ac:dyDescent="0.3">
      <c r="A27" s="2" t="s">
        <v>50</v>
      </c>
      <c r="B27" s="2" t="s">
        <v>20</v>
      </c>
      <c r="C27" s="2" t="s">
        <v>21</v>
      </c>
      <c r="D27" s="20">
        <v>1173.1199999999999</v>
      </c>
      <c r="E27" s="6">
        <v>18</v>
      </c>
      <c r="F27" s="8">
        <v>0</v>
      </c>
      <c r="G27" s="7">
        <v>45418</v>
      </c>
      <c r="H27" s="23">
        <v>293.27999999999997</v>
      </c>
      <c r="K27" s="9">
        <f t="shared" si="0"/>
        <v>246.8025938911976</v>
      </c>
    </row>
    <row r="28" spans="1:11" x14ac:dyDescent="0.3">
      <c r="A28" s="10" t="s">
        <v>51</v>
      </c>
      <c r="B28" s="10" t="s">
        <v>24</v>
      </c>
      <c r="C28" s="10" t="s">
        <v>27</v>
      </c>
      <c r="D28" s="19">
        <v>675.54</v>
      </c>
      <c r="E28" s="11">
        <v>17</v>
      </c>
      <c r="F28" s="12">
        <v>0</v>
      </c>
      <c r="G28" s="13">
        <v>45420</v>
      </c>
      <c r="H28" s="22">
        <v>236.44</v>
      </c>
      <c r="K28" s="9">
        <f t="shared" si="0"/>
        <v>323.61900394663769</v>
      </c>
    </row>
    <row r="29" spans="1:11" x14ac:dyDescent="0.3">
      <c r="A29" s="2" t="s">
        <v>14</v>
      </c>
      <c r="B29" s="2" t="s">
        <v>34</v>
      </c>
      <c r="C29" s="2" t="s">
        <v>12</v>
      </c>
      <c r="D29" s="20">
        <v>939.09</v>
      </c>
      <c r="E29" s="6">
        <v>2</v>
      </c>
      <c r="F29" s="8">
        <v>0.05</v>
      </c>
      <c r="G29" s="7">
        <v>45422</v>
      </c>
      <c r="H29" s="23">
        <v>356.85</v>
      </c>
      <c r="K29" s="9">
        <f t="shared" si="0"/>
        <v>410.56462638127095</v>
      </c>
    </row>
    <row r="30" spans="1:11" x14ac:dyDescent="0.3">
      <c r="A30" s="10" t="s">
        <v>53</v>
      </c>
      <c r="B30" s="10" t="s">
        <v>18</v>
      </c>
      <c r="C30" s="10" t="s">
        <v>39</v>
      </c>
      <c r="D30" s="19">
        <v>983.34</v>
      </c>
      <c r="E30" s="11">
        <v>19</v>
      </c>
      <c r="F30" s="12">
        <v>0.1</v>
      </c>
      <c r="G30" s="13">
        <v>45426</v>
      </c>
      <c r="H30" s="22">
        <v>398.25</v>
      </c>
      <c r="K30" s="9">
        <f t="shared" si="0"/>
        <v>235.98570377514196</v>
      </c>
    </row>
    <row r="31" spans="1:11" x14ac:dyDescent="0.3">
      <c r="A31" s="2" t="s">
        <v>23</v>
      </c>
      <c r="B31" s="2" t="s">
        <v>20</v>
      </c>
      <c r="C31" s="2" t="s">
        <v>21</v>
      </c>
      <c r="D31" s="20">
        <v>801.21</v>
      </c>
      <c r="E31" s="6">
        <v>3</v>
      </c>
      <c r="F31" s="8">
        <v>0.2</v>
      </c>
      <c r="G31" s="7">
        <v>45426</v>
      </c>
      <c r="H31" s="23">
        <v>160.24</v>
      </c>
      <c r="K31" s="9">
        <f t="shared" si="0"/>
        <v>328.4537994639665</v>
      </c>
    </row>
    <row r="32" spans="1:11" x14ac:dyDescent="0.3">
      <c r="A32" s="10" t="s">
        <v>55</v>
      </c>
      <c r="B32" s="10" t="s">
        <v>24</v>
      </c>
      <c r="C32" s="10" t="s">
        <v>21</v>
      </c>
      <c r="D32" s="19">
        <v>1450.71</v>
      </c>
      <c r="E32" s="11">
        <v>5</v>
      </c>
      <c r="F32" s="12">
        <v>0.1</v>
      </c>
      <c r="G32" s="13">
        <v>45427</v>
      </c>
      <c r="H32" s="22">
        <v>326.41000000000003</v>
      </c>
      <c r="K32" s="9">
        <f t="shared" si="0"/>
        <v>343.97917694160066</v>
      </c>
    </row>
    <row r="33" spans="1:11" x14ac:dyDescent="0.3">
      <c r="A33" s="2" t="s">
        <v>56</v>
      </c>
      <c r="B33" s="2" t="s">
        <v>34</v>
      </c>
      <c r="C33" s="2" t="s">
        <v>12</v>
      </c>
      <c r="D33" s="20">
        <v>1023.21</v>
      </c>
      <c r="E33" s="6">
        <v>18</v>
      </c>
      <c r="F33" s="8">
        <v>0.05</v>
      </c>
      <c r="G33" s="7">
        <v>45428</v>
      </c>
      <c r="H33" s="23">
        <v>388.82</v>
      </c>
      <c r="K33" s="9">
        <f t="shared" si="0"/>
        <v>280.07777581162304</v>
      </c>
    </row>
    <row r="34" spans="1:11" x14ac:dyDescent="0.3">
      <c r="A34" s="10" t="s">
        <v>47</v>
      </c>
      <c r="B34" s="10" t="s">
        <v>11</v>
      </c>
      <c r="C34" s="10" t="s">
        <v>27</v>
      </c>
      <c r="D34" s="19">
        <v>853.72</v>
      </c>
      <c r="E34" s="11">
        <v>5</v>
      </c>
      <c r="F34" s="12">
        <v>0.15</v>
      </c>
      <c r="G34" s="13">
        <v>45428</v>
      </c>
      <c r="H34" s="22">
        <v>253.98</v>
      </c>
      <c r="K34" s="9">
        <f t="shared" si="0"/>
        <v>507.95874014435509</v>
      </c>
    </row>
    <row r="35" spans="1:11" x14ac:dyDescent="0.3">
      <c r="A35" s="2" t="s">
        <v>43</v>
      </c>
      <c r="B35" s="2" t="s">
        <v>20</v>
      </c>
      <c r="C35" s="2" t="s">
        <v>21</v>
      </c>
      <c r="D35" s="20">
        <v>967.89</v>
      </c>
      <c r="E35" s="6">
        <v>10</v>
      </c>
      <c r="F35" s="8">
        <v>0.1</v>
      </c>
      <c r="G35" s="7">
        <v>45429</v>
      </c>
      <c r="H35" s="23">
        <v>217.78</v>
      </c>
      <c r="K35" s="9">
        <f t="shared" si="0"/>
        <v>357.96780519094023</v>
      </c>
    </row>
    <row r="36" spans="1:11" x14ac:dyDescent="0.3">
      <c r="A36" s="10" t="s">
        <v>53</v>
      </c>
      <c r="B36" s="10" t="s">
        <v>24</v>
      </c>
      <c r="C36" s="10" t="s">
        <v>39</v>
      </c>
      <c r="D36" s="19">
        <v>1200.9000000000001</v>
      </c>
      <c r="E36" s="11">
        <v>14</v>
      </c>
      <c r="F36" s="12">
        <v>0.05</v>
      </c>
      <c r="G36" s="13">
        <v>45429</v>
      </c>
      <c r="H36" s="22">
        <v>513.38</v>
      </c>
      <c r="K36" s="9">
        <f t="shared" ref="K36:K67" si="1">$J$4*D34+$J$6</f>
        <v>298.50122375174891</v>
      </c>
    </row>
    <row r="37" spans="1:11" x14ac:dyDescent="0.3">
      <c r="A37" s="2" t="s">
        <v>26</v>
      </c>
      <c r="B37" s="2" t="s">
        <v>11</v>
      </c>
      <c r="C37" s="2" t="s">
        <v>12</v>
      </c>
      <c r="D37" s="20">
        <v>472.38</v>
      </c>
      <c r="E37" s="6">
        <v>12</v>
      </c>
      <c r="F37" s="8">
        <v>0.2</v>
      </c>
      <c r="G37" s="7">
        <v>45429</v>
      </c>
      <c r="H37" s="23">
        <v>151.16</v>
      </c>
      <c r="K37" s="9">
        <f t="shared" si="1"/>
        <v>338.55845192398601</v>
      </c>
    </row>
    <row r="38" spans="1:11" x14ac:dyDescent="0.3">
      <c r="A38" s="10" t="s">
        <v>55</v>
      </c>
      <c r="B38" s="10" t="s">
        <v>18</v>
      </c>
      <c r="C38" s="10" t="s">
        <v>39</v>
      </c>
      <c r="D38" s="19">
        <v>840.92</v>
      </c>
      <c r="E38" s="11">
        <v>9</v>
      </c>
      <c r="F38" s="12">
        <v>0.05</v>
      </c>
      <c r="G38" s="13">
        <v>45429</v>
      </c>
      <c r="H38" s="22">
        <v>359.49</v>
      </c>
      <c r="K38" s="9">
        <f t="shared" si="1"/>
        <v>420.31140573333153</v>
      </c>
    </row>
    <row r="39" spans="1:11" x14ac:dyDescent="0.3">
      <c r="A39" s="2" t="s">
        <v>48</v>
      </c>
      <c r="B39" s="2" t="s">
        <v>34</v>
      </c>
      <c r="C39" s="2" t="s">
        <v>27</v>
      </c>
      <c r="D39" s="20">
        <v>1410.06</v>
      </c>
      <c r="E39" s="6">
        <v>11</v>
      </c>
      <c r="F39" s="8">
        <v>0.05</v>
      </c>
      <c r="G39" s="7">
        <v>45434</v>
      </c>
      <c r="H39" s="23">
        <v>468.84</v>
      </c>
      <c r="K39" s="9">
        <f t="shared" si="1"/>
        <v>164.70580121342087</v>
      </c>
    </row>
    <row r="40" spans="1:11" x14ac:dyDescent="0.3">
      <c r="A40" s="10" t="s">
        <v>59</v>
      </c>
      <c r="B40" s="10" t="s">
        <v>34</v>
      </c>
      <c r="C40" s="10" t="s">
        <v>27</v>
      </c>
      <c r="D40" s="19">
        <v>773.09</v>
      </c>
      <c r="E40" s="11">
        <v>13</v>
      </c>
      <c r="F40" s="12">
        <v>0.15</v>
      </c>
      <c r="G40" s="13">
        <v>45434</v>
      </c>
      <c r="H40" s="22">
        <v>229.99</v>
      </c>
      <c r="K40" s="9">
        <f t="shared" si="1"/>
        <v>294.01026710285129</v>
      </c>
    </row>
    <row r="41" spans="1:11" x14ac:dyDescent="0.3">
      <c r="A41" s="2" t="s">
        <v>61</v>
      </c>
      <c r="B41" s="2" t="s">
        <v>18</v>
      </c>
      <c r="C41" s="2" t="s">
        <v>12</v>
      </c>
      <c r="D41" s="20">
        <v>580.42999999999995</v>
      </c>
      <c r="E41" s="6">
        <v>19</v>
      </c>
      <c r="F41" s="8">
        <v>0.15</v>
      </c>
      <c r="G41" s="7">
        <v>45435</v>
      </c>
      <c r="H41" s="23">
        <v>197.35</v>
      </c>
      <c r="K41" s="9">
        <f t="shared" si="1"/>
        <v>493.69644422422328</v>
      </c>
    </row>
    <row r="42" spans="1:11" x14ac:dyDescent="0.3">
      <c r="A42" s="10" t="s">
        <v>42</v>
      </c>
      <c r="B42" s="10" t="s">
        <v>20</v>
      </c>
      <c r="C42" s="10" t="s">
        <v>12</v>
      </c>
      <c r="D42" s="19">
        <v>1151.21</v>
      </c>
      <c r="E42" s="11">
        <v>15</v>
      </c>
      <c r="F42" s="12">
        <v>0.1</v>
      </c>
      <c r="G42" s="13">
        <v>45445</v>
      </c>
      <c r="H42" s="22">
        <v>414.44</v>
      </c>
      <c r="K42" s="9">
        <f t="shared" si="1"/>
        <v>270.21170542357618</v>
      </c>
    </row>
    <row r="43" spans="1:11" x14ac:dyDescent="0.3">
      <c r="A43" s="2" t="s">
        <v>23</v>
      </c>
      <c r="B43" s="2" t="s">
        <v>34</v>
      </c>
      <c r="C43" s="2" t="s">
        <v>39</v>
      </c>
      <c r="D43" s="20">
        <v>1025.98</v>
      </c>
      <c r="E43" s="6">
        <v>5</v>
      </c>
      <c r="F43" s="8">
        <v>0.2</v>
      </c>
      <c r="G43" s="7">
        <v>45447</v>
      </c>
      <c r="H43" s="23">
        <v>369.35</v>
      </c>
      <c r="K43" s="9">
        <f t="shared" si="1"/>
        <v>202.61579073790384</v>
      </c>
    </row>
    <row r="44" spans="1:11" x14ac:dyDescent="0.3">
      <c r="A44" s="10" t="s">
        <v>56</v>
      </c>
      <c r="B44" s="10" t="s">
        <v>18</v>
      </c>
      <c r="C44" s="10" t="s">
        <v>39</v>
      </c>
      <c r="D44" s="19">
        <v>556.41999999999996</v>
      </c>
      <c r="E44" s="11">
        <v>11</v>
      </c>
      <c r="F44" s="12">
        <v>0.15</v>
      </c>
      <c r="G44" s="13">
        <v>45447</v>
      </c>
      <c r="H44" s="22">
        <v>212.83</v>
      </c>
      <c r="K44" s="9">
        <f t="shared" si="1"/>
        <v>402.87737167991588</v>
      </c>
    </row>
    <row r="45" spans="1:11" x14ac:dyDescent="0.3">
      <c r="A45" s="2" t="s">
        <v>23</v>
      </c>
      <c r="B45" s="2" t="s">
        <v>34</v>
      </c>
      <c r="C45" s="2" t="s">
        <v>12</v>
      </c>
      <c r="D45" s="20">
        <v>840.85</v>
      </c>
      <c r="E45" s="6">
        <v>19</v>
      </c>
      <c r="F45" s="8">
        <v>0.1</v>
      </c>
      <c r="G45" s="7">
        <v>45448</v>
      </c>
      <c r="H45" s="23">
        <v>302.70999999999998</v>
      </c>
      <c r="K45" s="9">
        <f t="shared" si="1"/>
        <v>358.93967627824071</v>
      </c>
    </row>
    <row r="46" spans="1:11" x14ac:dyDescent="0.3">
      <c r="A46" s="10" t="s">
        <v>61</v>
      </c>
      <c r="B46" s="10" t="s">
        <v>24</v>
      </c>
      <c r="C46" s="10" t="s">
        <v>27</v>
      </c>
      <c r="D46" s="19">
        <v>1227.25</v>
      </c>
      <c r="E46" s="11">
        <v>12</v>
      </c>
      <c r="F46" s="12">
        <v>0.15</v>
      </c>
      <c r="G46" s="13">
        <v>45448</v>
      </c>
      <c r="H46" s="22">
        <v>365.11</v>
      </c>
      <c r="K46" s="9">
        <f t="shared" si="1"/>
        <v>194.19173846133896</v>
      </c>
    </row>
    <row r="47" spans="1:11" x14ac:dyDescent="0.3">
      <c r="A47" s="2" t="s">
        <v>62</v>
      </c>
      <c r="B47" s="2" t="s">
        <v>34</v>
      </c>
      <c r="C47" s="2" t="s">
        <v>21</v>
      </c>
      <c r="D47" s="20">
        <v>856.7</v>
      </c>
      <c r="E47" s="6">
        <v>2</v>
      </c>
      <c r="F47" s="8">
        <v>0</v>
      </c>
      <c r="G47" s="7">
        <v>45449</v>
      </c>
      <c r="H47" s="23">
        <v>214.18</v>
      </c>
      <c r="K47" s="9">
        <f t="shared" si="1"/>
        <v>293.98570718367768</v>
      </c>
    </row>
    <row r="48" spans="1:11" x14ac:dyDescent="0.3">
      <c r="A48" s="10" t="s">
        <v>56</v>
      </c>
      <c r="B48" s="10" t="s">
        <v>34</v>
      </c>
      <c r="C48" s="10" t="s">
        <v>39</v>
      </c>
      <c r="D48" s="19">
        <v>1225.42</v>
      </c>
      <c r="E48" s="11">
        <v>8</v>
      </c>
      <c r="F48" s="12">
        <v>0.15</v>
      </c>
      <c r="G48" s="13">
        <v>45449</v>
      </c>
      <c r="H48" s="22">
        <v>468.72</v>
      </c>
      <c r="K48" s="9">
        <f t="shared" si="1"/>
        <v>429.55646102227297</v>
      </c>
    </row>
    <row r="49" spans="1:11" x14ac:dyDescent="0.3">
      <c r="A49" s="2" t="s">
        <v>31</v>
      </c>
      <c r="B49" s="2" t="s">
        <v>24</v>
      </c>
      <c r="C49" s="2" t="s">
        <v>39</v>
      </c>
      <c r="D49" s="20">
        <v>1001.57</v>
      </c>
      <c r="E49" s="6">
        <v>12</v>
      </c>
      <c r="F49" s="8">
        <v>0</v>
      </c>
      <c r="G49" s="7">
        <v>45450</v>
      </c>
      <c r="H49" s="23">
        <v>450.71</v>
      </c>
      <c r="K49" s="9">
        <f t="shared" si="1"/>
        <v>299.54677459657034</v>
      </c>
    </row>
    <row r="50" spans="1:11" x14ac:dyDescent="0.3">
      <c r="A50" s="10" t="s">
        <v>26</v>
      </c>
      <c r="B50" s="10" t="s">
        <v>18</v>
      </c>
      <c r="C50" s="10" t="s">
        <v>27</v>
      </c>
      <c r="D50" s="19">
        <v>1186.8499999999999</v>
      </c>
      <c r="E50" s="11">
        <v>19</v>
      </c>
      <c r="F50" s="12">
        <v>0.2</v>
      </c>
      <c r="G50" s="13">
        <v>45451</v>
      </c>
      <c r="H50" s="22">
        <v>332.32</v>
      </c>
      <c r="K50" s="9">
        <f t="shared" si="1"/>
        <v>428.91439456387593</v>
      </c>
    </row>
    <row r="51" spans="1:11" x14ac:dyDescent="0.3">
      <c r="A51" s="2" t="s">
        <v>51</v>
      </c>
      <c r="B51" s="2" t="s">
        <v>20</v>
      </c>
      <c r="C51" s="2" t="s">
        <v>21</v>
      </c>
      <c r="D51" s="20">
        <v>775.45</v>
      </c>
      <c r="E51" s="6">
        <v>6</v>
      </c>
      <c r="F51" s="8">
        <v>0.1</v>
      </c>
      <c r="G51" s="7">
        <v>45457</v>
      </c>
      <c r="H51" s="23">
        <v>174.48</v>
      </c>
      <c r="K51" s="9">
        <f t="shared" si="1"/>
        <v>350.37528160639778</v>
      </c>
    </row>
    <row r="52" spans="1:11" x14ac:dyDescent="0.3">
      <c r="A52" s="10" t="s">
        <v>33</v>
      </c>
      <c r="B52" s="10" t="s">
        <v>20</v>
      </c>
      <c r="C52" s="10" t="s">
        <v>21</v>
      </c>
      <c r="D52" s="19">
        <v>1021.47</v>
      </c>
      <c r="E52" s="11">
        <v>6</v>
      </c>
      <c r="F52" s="12">
        <v>0.05</v>
      </c>
      <c r="G52" s="13">
        <v>45461</v>
      </c>
      <c r="H52" s="22">
        <v>242.6</v>
      </c>
      <c r="K52" s="9">
        <f t="shared" si="1"/>
        <v>415.38187909919003</v>
      </c>
    </row>
    <row r="53" spans="1:11" x14ac:dyDescent="0.3">
      <c r="A53" s="2" t="s">
        <v>23</v>
      </c>
      <c r="B53" s="2" t="s">
        <v>20</v>
      </c>
      <c r="C53" s="2" t="s">
        <v>15</v>
      </c>
      <c r="D53" s="20">
        <v>1226.6199999999999</v>
      </c>
      <c r="E53" s="6">
        <v>7</v>
      </c>
      <c r="F53" s="8">
        <v>0.1</v>
      </c>
      <c r="G53" s="7">
        <v>45463</v>
      </c>
      <c r="H53" s="23">
        <v>551.98</v>
      </c>
      <c r="K53" s="9">
        <f t="shared" si="1"/>
        <v>271.03972555571664</v>
      </c>
    </row>
    <row r="54" spans="1:11" x14ac:dyDescent="0.3">
      <c r="A54" s="10" t="s">
        <v>64</v>
      </c>
      <c r="B54" s="10" t="s">
        <v>20</v>
      </c>
      <c r="C54" s="10" t="s">
        <v>27</v>
      </c>
      <c r="D54" s="19">
        <v>1086.93</v>
      </c>
      <c r="E54" s="11">
        <v>2</v>
      </c>
      <c r="F54" s="12">
        <v>0</v>
      </c>
      <c r="G54" s="13">
        <v>45464</v>
      </c>
      <c r="H54" s="22">
        <v>380.43</v>
      </c>
      <c r="K54" s="9">
        <f t="shared" si="1"/>
        <v>357.35731577148067</v>
      </c>
    </row>
    <row r="55" spans="1:11" x14ac:dyDescent="0.3">
      <c r="A55" s="2" t="s">
        <v>48</v>
      </c>
      <c r="B55" s="2" t="s">
        <v>11</v>
      </c>
      <c r="C55" s="2" t="s">
        <v>12</v>
      </c>
      <c r="D55" s="20">
        <v>942.9</v>
      </c>
      <c r="E55" s="6">
        <v>18</v>
      </c>
      <c r="F55" s="8">
        <v>0.1</v>
      </c>
      <c r="G55" s="7">
        <v>45466</v>
      </c>
      <c r="H55" s="23">
        <v>339.44</v>
      </c>
      <c r="K55" s="9">
        <f t="shared" si="1"/>
        <v>429.33542174971001</v>
      </c>
    </row>
    <row r="56" spans="1:11" x14ac:dyDescent="0.3">
      <c r="A56" s="10" t="s">
        <v>38</v>
      </c>
      <c r="B56" s="10" t="s">
        <v>24</v>
      </c>
      <c r="C56" s="10" t="s">
        <v>21</v>
      </c>
      <c r="D56" s="19">
        <v>818.8</v>
      </c>
      <c r="E56" s="11">
        <v>15</v>
      </c>
      <c r="F56" s="12">
        <v>0.15</v>
      </c>
      <c r="G56" s="13">
        <v>45468</v>
      </c>
      <c r="H56" s="22">
        <v>173.99</v>
      </c>
      <c r="K56" s="9">
        <f t="shared" si="1"/>
        <v>380.32434875873344</v>
      </c>
    </row>
    <row r="57" spans="1:11" x14ac:dyDescent="0.3">
      <c r="A57" s="2" t="s">
        <v>14</v>
      </c>
      <c r="B57" s="2" t="s">
        <v>20</v>
      </c>
      <c r="C57" s="2" t="s">
        <v>27</v>
      </c>
      <c r="D57" s="20">
        <v>919.04</v>
      </c>
      <c r="E57" s="6">
        <v>10</v>
      </c>
      <c r="F57" s="8">
        <v>0.2</v>
      </c>
      <c r="G57" s="7">
        <v>45468</v>
      </c>
      <c r="H57" s="23">
        <v>257.33</v>
      </c>
      <c r="K57" s="9">
        <f t="shared" si="1"/>
        <v>329.79056077898991</v>
      </c>
    </row>
    <row r="58" spans="1:11" x14ac:dyDescent="0.3">
      <c r="A58" s="10" t="s">
        <v>66</v>
      </c>
      <c r="B58" s="10" t="s">
        <v>34</v>
      </c>
      <c r="C58" s="10" t="s">
        <v>12</v>
      </c>
      <c r="D58" s="19">
        <v>973.26</v>
      </c>
      <c r="E58" s="11">
        <v>11</v>
      </c>
      <c r="F58" s="12">
        <v>0</v>
      </c>
      <c r="G58" s="13">
        <v>45470</v>
      </c>
      <c r="H58" s="22">
        <v>389.3</v>
      </c>
      <c r="K58" s="9">
        <f t="shared" si="1"/>
        <v>286.24933264397521</v>
      </c>
    </row>
    <row r="59" spans="1:11" x14ac:dyDescent="0.3">
      <c r="A59" s="2" t="s">
        <v>64</v>
      </c>
      <c r="B59" s="2" t="s">
        <v>24</v>
      </c>
      <c r="C59" s="2" t="s">
        <v>21</v>
      </c>
      <c r="D59" s="20">
        <v>741.61</v>
      </c>
      <c r="E59" s="6">
        <v>1</v>
      </c>
      <c r="F59" s="8">
        <v>0.2</v>
      </c>
      <c r="G59" s="7">
        <v>45471</v>
      </c>
      <c r="H59" s="23">
        <v>148.32</v>
      </c>
      <c r="K59" s="9">
        <f t="shared" si="1"/>
        <v>321.41913690065428</v>
      </c>
    </row>
    <row r="60" spans="1:11" x14ac:dyDescent="0.3">
      <c r="A60" s="10" t="s">
        <v>38</v>
      </c>
      <c r="B60" s="10" t="s">
        <v>24</v>
      </c>
      <c r="C60" s="10" t="s">
        <v>12</v>
      </c>
      <c r="D60" s="19">
        <v>1248.82</v>
      </c>
      <c r="E60" s="11">
        <v>2</v>
      </c>
      <c r="F60" s="12">
        <v>0.1</v>
      </c>
      <c r="G60" s="13">
        <v>45473</v>
      </c>
      <c r="H60" s="22">
        <v>449.58</v>
      </c>
      <c r="K60" s="9">
        <f t="shared" si="1"/>
        <v>340.44254858059384</v>
      </c>
    </row>
    <row r="61" spans="1:11" x14ac:dyDescent="0.3">
      <c r="A61" s="2" t="s">
        <v>59</v>
      </c>
      <c r="B61" s="2" t="s">
        <v>11</v>
      </c>
      <c r="C61" s="2" t="s">
        <v>15</v>
      </c>
      <c r="D61" s="20">
        <v>1360.36</v>
      </c>
      <c r="E61" s="6">
        <v>17</v>
      </c>
      <c r="F61" s="8">
        <v>0</v>
      </c>
      <c r="G61" s="7">
        <v>45473</v>
      </c>
      <c r="H61" s="23">
        <v>680.18</v>
      </c>
      <c r="K61" s="9">
        <f t="shared" si="1"/>
        <v>259.16675891519372</v>
      </c>
    </row>
    <row r="62" spans="1:11" x14ac:dyDescent="0.3">
      <c r="A62" s="10" t="s">
        <v>31</v>
      </c>
      <c r="B62" s="10" t="s">
        <v>18</v>
      </c>
      <c r="C62" s="10" t="s">
        <v>12</v>
      </c>
      <c r="D62" s="19">
        <v>1383.3</v>
      </c>
      <c r="E62" s="11">
        <v>8</v>
      </c>
      <c r="F62" s="12">
        <v>0.1</v>
      </c>
      <c r="G62" s="13">
        <v>45478</v>
      </c>
      <c r="H62" s="22">
        <v>497.99</v>
      </c>
      <c r="K62" s="9">
        <f t="shared" si="1"/>
        <v>437.12442468764175</v>
      </c>
    </row>
    <row r="63" spans="1:11" x14ac:dyDescent="0.3">
      <c r="A63" s="2" t="s">
        <v>55</v>
      </c>
      <c r="B63" s="2" t="s">
        <v>34</v>
      </c>
      <c r="C63" s="2" t="s">
        <v>39</v>
      </c>
      <c r="D63" s="20">
        <v>488.99</v>
      </c>
      <c r="E63" s="6">
        <v>9</v>
      </c>
      <c r="F63" s="8">
        <v>0</v>
      </c>
      <c r="G63" s="7">
        <v>45479</v>
      </c>
      <c r="H63" s="23">
        <v>220.05</v>
      </c>
      <c r="K63" s="9">
        <f t="shared" si="1"/>
        <v>476.2589016109257</v>
      </c>
    </row>
    <row r="64" spans="1:11" x14ac:dyDescent="0.3">
      <c r="A64" s="10" t="s">
        <v>31</v>
      </c>
      <c r="B64" s="10" t="s">
        <v>18</v>
      </c>
      <c r="C64" s="10" t="s">
        <v>27</v>
      </c>
      <c r="D64" s="19">
        <v>933.71</v>
      </c>
      <c r="E64" s="11">
        <v>17</v>
      </c>
      <c r="F64" s="12">
        <v>0.1</v>
      </c>
      <c r="G64" s="13">
        <v>45481</v>
      </c>
      <c r="H64" s="22">
        <v>294.12</v>
      </c>
      <c r="K64" s="9">
        <f t="shared" si="1"/>
        <v>484.30753798012182</v>
      </c>
    </row>
    <row r="65" spans="1:11" x14ac:dyDescent="0.3">
      <c r="A65" s="2" t="s">
        <v>10</v>
      </c>
      <c r="B65" s="2" t="s">
        <v>11</v>
      </c>
      <c r="C65" s="2" t="s">
        <v>21</v>
      </c>
      <c r="D65" s="20">
        <v>1005.53</v>
      </c>
      <c r="E65" s="6">
        <v>17</v>
      </c>
      <c r="F65" s="8">
        <v>0.2</v>
      </c>
      <c r="G65" s="7">
        <v>45481</v>
      </c>
      <c r="H65" s="23">
        <v>201.11</v>
      </c>
      <c r="K65" s="9">
        <f t="shared" si="1"/>
        <v>170.53351917734187</v>
      </c>
    </row>
    <row r="66" spans="1:11" x14ac:dyDescent="0.3">
      <c r="A66" s="10" t="s">
        <v>61</v>
      </c>
      <c r="B66" s="10" t="s">
        <v>20</v>
      </c>
      <c r="C66" s="10" t="s">
        <v>21</v>
      </c>
      <c r="D66" s="19">
        <v>1100.0999999999999</v>
      </c>
      <c r="E66" s="11">
        <v>5</v>
      </c>
      <c r="F66" s="12">
        <v>0.05</v>
      </c>
      <c r="G66" s="13">
        <v>45482</v>
      </c>
      <c r="H66" s="22">
        <v>261.27</v>
      </c>
      <c r="K66" s="9">
        <f t="shared" si="1"/>
        <v>326.56619424747674</v>
      </c>
    </row>
    <row r="67" spans="1:11" x14ac:dyDescent="0.3">
      <c r="A67" s="2" t="s">
        <v>23</v>
      </c>
      <c r="B67" s="2" t="s">
        <v>24</v>
      </c>
      <c r="C67" s="2" t="s">
        <v>27</v>
      </c>
      <c r="D67" s="20">
        <v>1034.7</v>
      </c>
      <c r="E67" s="6">
        <v>15</v>
      </c>
      <c r="F67" s="8">
        <v>0.15</v>
      </c>
      <c r="G67" s="7">
        <v>45487</v>
      </c>
      <c r="H67" s="23">
        <v>307.82</v>
      </c>
      <c r="K67" s="9">
        <f t="shared" si="1"/>
        <v>351.7646713196504</v>
      </c>
    </row>
    <row r="68" spans="1:11" x14ac:dyDescent="0.3">
      <c r="A68" s="10" t="s">
        <v>31</v>
      </c>
      <c r="B68" s="10" t="s">
        <v>20</v>
      </c>
      <c r="C68" s="10" t="s">
        <v>12</v>
      </c>
      <c r="D68" s="19">
        <v>876.44</v>
      </c>
      <c r="E68" s="11">
        <v>12</v>
      </c>
      <c r="F68" s="12">
        <v>0.05</v>
      </c>
      <c r="G68" s="13">
        <v>45488</v>
      </c>
      <c r="H68" s="22">
        <v>333.05</v>
      </c>
      <c r="K68" s="9">
        <f t="shared" ref="K68:K99" si="2">$J$4*D66+$J$6</f>
        <v>384.9451221232631</v>
      </c>
    </row>
    <row r="69" spans="1:11" x14ac:dyDescent="0.3">
      <c r="A69" s="2" t="s">
        <v>55</v>
      </c>
      <c r="B69" s="2" t="s">
        <v>11</v>
      </c>
      <c r="C69" s="2" t="s">
        <v>27</v>
      </c>
      <c r="D69" s="20">
        <v>1371.34</v>
      </c>
      <c r="E69" s="6">
        <v>5</v>
      </c>
      <c r="F69" s="8">
        <v>0.05</v>
      </c>
      <c r="G69" s="7">
        <v>45488</v>
      </c>
      <c r="H69" s="23">
        <v>455.97</v>
      </c>
      <c r="K69" s="9">
        <f t="shared" si="2"/>
        <v>361.99914049530219</v>
      </c>
    </row>
    <row r="70" spans="1:11" x14ac:dyDescent="0.3">
      <c r="A70" s="10" t="s">
        <v>47</v>
      </c>
      <c r="B70" s="10" t="s">
        <v>24</v>
      </c>
      <c r="C70" s="10" t="s">
        <v>21</v>
      </c>
      <c r="D70" s="19">
        <v>1020.26</v>
      </c>
      <c r="E70" s="11">
        <v>11</v>
      </c>
      <c r="F70" s="12">
        <v>0.05</v>
      </c>
      <c r="G70" s="13">
        <v>45494</v>
      </c>
      <c r="H70" s="22">
        <v>242.31</v>
      </c>
      <c r="K70" s="9">
        <f t="shared" si="2"/>
        <v>306.47267180354208</v>
      </c>
    </row>
    <row r="71" spans="1:11" x14ac:dyDescent="0.3">
      <c r="A71" s="2" t="s">
        <v>10</v>
      </c>
      <c r="B71" s="2" t="s">
        <v>34</v>
      </c>
      <c r="C71" s="2" t="s">
        <v>39</v>
      </c>
      <c r="D71" s="20">
        <v>804.81</v>
      </c>
      <c r="E71" s="6">
        <v>1</v>
      </c>
      <c r="F71" s="8">
        <v>0.05</v>
      </c>
      <c r="G71" s="7">
        <v>45502</v>
      </c>
      <c r="H71" s="23">
        <v>344.06</v>
      </c>
      <c r="K71" s="9">
        <f t="shared" si="2"/>
        <v>480.11130036130817</v>
      </c>
    </row>
    <row r="72" spans="1:11" x14ac:dyDescent="0.3">
      <c r="A72" s="10" t="s">
        <v>55</v>
      </c>
      <c r="B72" s="10" t="s">
        <v>34</v>
      </c>
      <c r="C72" s="10" t="s">
        <v>21</v>
      </c>
      <c r="D72" s="19">
        <v>608.66</v>
      </c>
      <c r="E72" s="11">
        <v>1</v>
      </c>
      <c r="F72" s="12">
        <v>0.05</v>
      </c>
      <c r="G72" s="13">
        <v>45503</v>
      </c>
      <c r="H72" s="22">
        <v>144.56</v>
      </c>
      <c r="K72" s="9">
        <f t="shared" si="2"/>
        <v>356.9327800257646</v>
      </c>
    </row>
    <row r="73" spans="1:11" x14ac:dyDescent="0.3">
      <c r="A73" s="2" t="s">
        <v>69</v>
      </c>
      <c r="B73" s="2" t="s">
        <v>20</v>
      </c>
      <c r="C73" s="2" t="s">
        <v>39</v>
      </c>
      <c r="D73" s="20">
        <v>981.2</v>
      </c>
      <c r="E73" s="6">
        <v>19</v>
      </c>
      <c r="F73" s="8">
        <v>0</v>
      </c>
      <c r="G73" s="7">
        <v>45504</v>
      </c>
      <c r="H73" s="23">
        <v>441.54</v>
      </c>
      <c r="K73" s="9">
        <f t="shared" si="2"/>
        <v>281.34085736912544</v>
      </c>
    </row>
    <row r="74" spans="1:11" x14ac:dyDescent="0.3">
      <c r="A74" s="10" t="s">
        <v>55</v>
      </c>
      <c r="B74" s="10" t="s">
        <v>18</v>
      </c>
      <c r="C74" s="10" t="s">
        <v>21</v>
      </c>
      <c r="D74" s="19">
        <v>539.77</v>
      </c>
      <c r="E74" s="11">
        <v>10</v>
      </c>
      <c r="F74" s="12">
        <v>0.15</v>
      </c>
      <c r="G74" s="13">
        <v>45509</v>
      </c>
      <c r="H74" s="22">
        <v>114.7</v>
      </c>
      <c r="K74" s="9">
        <f t="shared" si="2"/>
        <v>212.52045528465217</v>
      </c>
    </row>
    <row r="75" spans="1:11" x14ac:dyDescent="0.3">
      <c r="A75" s="2" t="s">
        <v>71</v>
      </c>
      <c r="B75" s="2" t="s">
        <v>20</v>
      </c>
      <c r="C75" s="2" t="s">
        <v>12</v>
      </c>
      <c r="D75" s="20">
        <v>804.45</v>
      </c>
      <c r="E75" s="6">
        <v>5</v>
      </c>
      <c r="F75" s="8">
        <v>0.2</v>
      </c>
      <c r="G75" s="7">
        <v>45509</v>
      </c>
      <c r="H75" s="23">
        <v>257.42</v>
      </c>
      <c r="K75" s="9">
        <f t="shared" si="2"/>
        <v>343.22834512686313</v>
      </c>
    </row>
    <row r="76" spans="1:11" x14ac:dyDescent="0.3">
      <c r="A76" s="10" t="s">
        <v>38</v>
      </c>
      <c r="B76" s="10" t="s">
        <v>11</v>
      </c>
      <c r="C76" s="10" t="s">
        <v>21</v>
      </c>
      <c r="D76" s="19">
        <v>1526.6</v>
      </c>
      <c r="E76" s="11">
        <v>13</v>
      </c>
      <c r="F76" s="12">
        <v>0.2</v>
      </c>
      <c r="G76" s="13">
        <v>45512</v>
      </c>
      <c r="H76" s="22">
        <v>305.32</v>
      </c>
      <c r="K76" s="9">
        <f t="shared" si="2"/>
        <v>188.34998625789018</v>
      </c>
    </row>
    <row r="77" spans="1:11" x14ac:dyDescent="0.3">
      <c r="A77" s="2" t="s">
        <v>29</v>
      </c>
      <c r="B77" s="2" t="s">
        <v>11</v>
      </c>
      <c r="C77" s="2" t="s">
        <v>21</v>
      </c>
      <c r="D77" s="20">
        <v>1215.26</v>
      </c>
      <c r="E77" s="6">
        <v>5</v>
      </c>
      <c r="F77" s="8">
        <v>0.15</v>
      </c>
      <c r="G77" s="7">
        <v>45513</v>
      </c>
      <c r="H77" s="23">
        <v>258.24</v>
      </c>
      <c r="K77" s="9">
        <f t="shared" si="2"/>
        <v>281.21454921337522</v>
      </c>
    </row>
    <row r="78" spans="1:11" x14ac:dyDescent="0.3">
      <c r="A78" s="10" t="s">
        <v>53</v>
      </c>
      <c r="B78" s="10" t="s">
        <v>34</v>
      </c>
      <c r="C78" s="10" t="s">
        <v>27</v>
      </c>
      <c r="D78" s="19">
        <v>1261.3399999999999</v>
      </c>
      <c r="E78" s="11">
        <v>3</v>
      </c>
      <c r="F78" s="12">
        <v>0</v>
      </c>
      <c r="G78" s="13">
        <v>45519</v>
      </c>
      <c r="H78" s="22">
        <v>441.47</v>
      </c>
      <c r="K78" s="9">
        <f t="shared" si="2"/>
        <v>534.5852010884829</v>
      </c>
    </row>
    <row r="79" spans="1:11" x14ac:dyDescent="0.3">
      <c r="A79" s="2" t="s">
        <v>45</v>
      </c>
      <c r="B79" s="2" t="s">
        <v>24</v>
      </c>
      <c r="C79" s="2" t="s">
        <v>27</v>
      </c>
      <c r="D79" s="20">
        <v>518.07000000000005</v>
      </c>
      <c r="E79" s="6">
        <v>7</v>
      </c>
      <c r="F79" s="8">
        <v>0.05</v>
      </c>
      <c r="G79" s="7">
        <v>45522</v>
      </c>
      <c r="H79" s="23">
        <v>172.26</v>
      </c>
      <c r="K79" s="9">
        <f t="shared" si="2"/>
        <v>425.34969772381345</v>
      </c>
    </row>
    <row r="80" spans="1:11" x14ac:dyDescent="0.3">
      <c r="A80" s="10" t="s">
        <v>29</v>
      </c>
      <c r="B80" s="10" t="s">
        <v>11</v>
      </c>
      <c r="C80" s="10" t="s">
        <v>39</v>
      </c>
      <c r="D80" s="19">
        <v>1111.3399999999999</v>
      </c>
      <c r="E80" s="11">
        <v>1</v>
      </c>
      <c r="F80" s="12">
        <v>0</v>
      </c>
      <c r="G80" s="13">
        <v>45523</v>
      </c>
      <c r="H80" s="22">
        <v>500.1</v>
      </c>
      <c r="K80" s="9">
        <f t="shared" si="2"/>
        <v>441.5171416598447</v>
      </c>
    </row>
    <row r="81" spans="1:11" x14ac:dyDescent="0.3">
      <c r="A81" s="2" t="s">
        <v>31</v>
      </c>
      <c r="B81" s="2" t="s">
        <v>18</v>
      </c>
      <c r="C81" s="2" t="s">
        <v>15</v>
      </c>
      <c r="D81" s="20">
        <v>1291.47</v>
      </c>
      <c r="E81" s="6">
        <v>18</v>
      </c>
      <c r="F81" s="8">
        <v>0.1</v>
      </c>
      <c r="G81" s="7">
        <v>45526</v>
      </c>
      <c r="H81" s="23">
        <v>581.16</v>
      </c>
      <c r="K81" s="9">
        <f t="shared" si="2"/>
        <v>180.73641131405603</v>
      </c>
    </row>
    <row r="82" spans="1:11" x14ac:dyDescent="0.3">
      <c r="A82" s="10" t="s">
        <v>55</v>
      </c>
      <c r="B82" s="10" t="s">
        <v>24</v>
      </c>
      <c r="C82" s="10" t="s">
        <v>12</v>
      </c>
      <c r="D82" s="19">
        <v>679.71</v>
      </c>
      <c r="E82" s="11">
        <v>19</v>
      </c>
      <c r="F82" s="12">
        <v>0</v>
      </c>
      <c r="G82" s="13">
        <v>45534</v>
      </c>
      <c r="H82" s="22">
        <v>271.88</v>
      </c>
      <c r="K82" s="9">
        <f t="shared" si="2"/>
        <v>388.88874343057631</v>
      </c>
    </row>
    <row r="83" spans="1:11" x14ac:dyDescent="0.3">
      <c r="A83" s="2" t="s">
        <v>33</v>
      </c>
      <c r="B83" s="2" t="s">
        <v>18</v>
      </c>
      <c r="C83" s="2" t="s">
        <v>27</v>
      </c>
      <c r="D83" s="20">
        <v>1143.69</v>
      </c>
      <c r="E83" s="6">
        <v>17</v>
      </c>
      <c r="F83" s="8">
        <v>0</v>
      </c>
      <c r="G83" s="7">
        <v>45534</v>
      </c>
      <c r="H83" s="23">
        <v>400.29</v>
      </c>
      <c r="K83" s="9">
        <f t="shared" si="2"/>
        <v>452.08843258416374</v>
      </c>
    </row>
    <row r="84" spans="1:11" x14ac:dyDescent="0.3">
      <c r="A84" s="10" t="s">
        <v>50</v>
      </c>
      <c r="B84" s="10" t="s">
        <v>34</v>
      </c>
      <c r="C84" s="10" t="s">
        <v>21</v>
      </c>
      <c r="D84" s="19">
        <v>790.08</v>
      </c>
      <c r="E84" s="11">
        <v>7</v>
      </c>
      <c r="F84" s="12">
        <v>0.1</v>
      </c>
      <c r="G84" s="13">
        <v>45536</v>
      </c>
      <c r="H84" s="22">
        <v>177.77</v>
      </c>
      <c r="K84" s="9">
        <f t="shared" si="2"/>
        <v>237.44877324591565</v>
      </c>
    </row>
    <row r="85" spans="1:11" x14ac:dyDescent="0.3">
      <c r="A85" s="2" t="s">
        <v>48</v>
      </c>
      <c r="B85" s="2" t="s">
        <v>34</v>
      </c>
      <c r="C85" s="2" t="s">
        <v>12</v>
      </c>
      <c r="D85" s="20">
        <v>1070.68</v>
      </c>
      <c r="E85" s="6">
        <v>7</v>
      </c>
      <c r="F85" s="8">
        <v>0.05</v>
      </c>
      <c r="G85" s="7">
        <v>45536</v>
      </c>
      <c r="H85" s="23">
        <v>406.86</v>
      </c>
      <c r="K85" s="9">
        <f t="shared" si="2"/>
        <v>400.23893464868854</v>
      </c>
    </row>
    <row r="86" spans="1:11" x14ac:dyDescent="0.3">
      <c r="A86" s="10" t="s">
        <v>36</v>
      </c>
      <c r="B86" s="10" t="s">
        <v>11</v>
      </c>
      <c r="C86" s="10" t="s">
        <v>15</v>
      </c>
      <c r="D86" s="19">
        <v>1168.8900000000001</v>
      </c>
      <c r="E86" s="11">
        <v>4</v>
      </c>
      <c r="F86" s="12">
        <v>0.1</v>
      </c>
      <c r="G86" s="13">
        <v>45544</v>
      </c>
      <c r="H86" s="22">
        <v>526</v>
      </c>
      <c r="K86" s="9">
        <f t="shared" si="2"/>
        <v>276.1727486630113</v>
      </c>
    </row>
    <row r="87" spans="1:11" x14ac:dyDescent="0.3">
      <c r="A87" s="2" t="s">
        <v>10</v>
      </c>
      <c r="B87" s="2" t="s">
        <v>20</v>
      </c>
      <c r="C87" s="2" t="s">
        <v>21</v>
      </c>
      <c r="D87" s="20">
        <v>1335.87</v>
      </c>
      <c r="E87" s="6">
        <v>17</v>
      </c>
      <c r="F87" s="8">
        <v>0</v>
      </c>
      <c r="G87" s="7">
        <v>45544</v>
      </c>
      <c r="H87" s="23">
        <v>333.97</v>
      </c>
      <c r="K87" s="9">
        <f t="shared" si="2"/>
        <v>374.62293895056268</v>
      </c>
    </row>
    <row r="88" spans="1:11" x14ac:dyDescent="0.3">
      <c r="A88" s="10" t="s">
        <v>55</v>
      </c>
      <c r="B88" s="10" t="s">
        <v>18</v>
      </c>
      <c r="C88" s="10" t="s">
        <v>27</v>
      </c>
      <c r="D88" s="19">
        <v>873.7</v>
      </c>
      <c r="E88" s="11">
        <v>9</v>
      </c>
      <c r="F88" s="12">
        <v>0</v>
      </c>
      <c r="G88" s="13">
        <v>45546</v>
      </c>
      <c r="H88" s="22">
        <v>305.8</v>
      </c>
      <c r="K88" s="9">
        <f t="shared" si="2"/>
        <v>409.08050555120565</v>
      </c>
    </row>
    <row r="89" spans="1:11" x14ac:dyDescent="0.3">
      <c r="A89" s="2" t="s">
        <v>64</v>
      </c>
      <c r="B89" s="2" t="s">
        <v>11</v>
      </c>
      <c r="C89" s="2" t="s">
        <v>39</v>
      </c>
      <c r="D89" s="20">
        <v>1443.98</v>
      </c>
      <c r="E89" s="6">
        <v>19</v>
      </c>
      <c r="F89" s="8">
        <v>0</v>
      </c>
      <c r="G89" s="7">
        <v>45547</v>
      </c>
      <c r="H89" s="23">
        <v>649.79</v>
      </c>
      <c r="K89" s="9">
        <f t="shared" si="2"/>
        <v>467.66643846002717</v>
      </c>
    </row>
    <row r="90" spans="1:11" x14ac:dyDescent="0.3">
      <c r="A90" s="10" t="s">
        <v>23</v>
      </c>
      <c r="B90" s="10" t="s">
        <v>18</v>
      </c>
      <c r="C90" s="10" t="s">
        <v>39</v>
      </c>
      <c r="D90" s="19">
        <v>1154.33</v>
      </c>
      <c r="E90" s="11">
        <v>11</v>
      </c>
      <c r="F90" s="12">
        <v>0.15</v>
      </c>
      <c r="G90" s="13">
        <v>45549</v>
      </c>
      <c r="H90" s="22">
        <v>441.53</v>
      </c>
      <c r="K90" s="9">
        <f t="shared" si="2"/>
        <v>305.51132639588747</v>
      </c>
    </row>
    <row r="91" spans="1:11" x14ac:dyDescent="0.3">
      <c r="A91" s="2" t="s">
        <v>50</v>
      </c>
      <c r="B91" s="2" t="s">
        <v>20</v>
      </c>
      <c r="C91" s="2" t="s">
        <v>12</v>
      </c>
      <c r="D91" s="20">
        <v>1264.49</v>
      </c>
      <c r="E91" s="6">
        <v>16</v>
      </c>
      <c r="F91" s="8">
        <v>0.05</v>
      </c>
      <c r="G91" s="7">
        <v>45549</v>
      </c>
      <c r="H91" s="23">
        <v>480.51</v>
      </c>
      <c r="K91" s="9">
        <f t="shared" si="2"/>
        <v>505.59747934380187</v>
      </c>
    </row>
    <row r="92" spans="1:11" x14ac:dyDescent="0.3">
      <c r="A92" s="10" t="s">
        <v>66</v>
      </c>
      <c r="B92" s="10" t="s">
        <v>11</v>
      </c>
      <c r="C92" s="10" t="s">
        <v>27</v>
      </c>
      <c r="D92" s="19">
        <v>1101.55</v>
      </c>
      <c r="E92" s="11">
        <v>4</v>
      </c>
      <c r="F92" s="12">
        <v>0.1</v>
      </c>
      <c r="G92" s="13">
        <v>45551</v>
      </c>
      <c r="H92" s="22">
        <v>346.99</v>
      </c>
      <c r="K92" s="9">
        <f t="shared" si="2"/>
        <v>403.97204236308465</v>
      </c>
    </row>
    <row r="93" spans="1:11" x14ac:dyDescent="0.3">
      <c r="A93" s="2" t="s">
        <v>14</v>
      </c>
      <c r="B93" s="2" t="s">
        <v>20</v>
      </c>
      <c r="C93" s="2" t="s">
        <v>27</v>
      </c>
      <c r="D93" s="20">
        <v>727.73</v>
      </c>
      <c r="E93" s="6">
        <v>1</v>
      </c>
      <c r="F93" s="8">
        <v>0.1</v>
      </c>
      <c r="G93" s="7">
        <v>45552</v>
      </c>
      <c r="H93" s="23">
        <v>229.23</v>
      </c>
      <c r="K93" s="9">
        <f t="shared" si="2"/>
        <v>442.62233802265933</v>
      </c>
    </row>
    <row r="94" spans="1:11" x14ac:dyDescent="0.3">
      <c r="A94" s="10" t="s">
        <v>38</v>
      </c>
      <c r="B94" s="10" t="s">
        <v>18</v>
      </c>
      <c r="C94" s="10" t="s">
        <v>39</v>
      </c>
      <c r="D94" s="19">
        <v>875.41</v>
      </c>
      <c r="E94" s="11">
        <v>13</v>
      </c>
      <c r="F94" s="12">
        <v>0.15</v>
      </c>
      <c r="G94" s="13">
        <v>45552</v>
      </c>
      <c r="H94" s="22">
        <v>334.84</v>
      </c>
      <c r="K94" s="9">
        <f t="shared" si="2"/>
        <v>385.45386330614605</v>
      </c>
    </row>
    <row r="95" spans="1:11" x14ac:dyDescent="0.3">
      <c r="A95" s="2" t="s">
        <v>23</v>
      </c>
      <c r="B95" s="2" t="s">
        <v>11</v>
      </c>
      <c r="C95" s="2" t="s">
        <v>21</v>
      </c>
      <c r="D95" s="20">
        <v>1158.94</v>
      </c>
      <c r="E95" s="6">
        <v>19</v>
      </c>
      <c r="F95" s="8">
        <v>0.2</v>
      </c>
      <c r="G95" s="7">
        <v>45553</v>
      </c>
      <c r="H95" s="23">
        <v>231.79</v>
      </c>
      <c r="K95" s="9">
        <f t="shared" si="2"/>
        <v>254.2968777990454</v>
      </c>
    </row>
    <row r="96" spans="1:11" x14ac:dyDescent="0.3">
      <c r="A96" s="10" t="s">
        <v>47</v>
      </c>
      <c r="B96" s="10" t="s">
        <v>20</v>
      </c>
      <c r="C96" s="10" t="s">
        <v>12</v>
      </c>
      <c r="D96" s="19">
        <v>966.3</v>
      </c>
      <c r="E96" s="11">
        <v>2</v>
      </c>
      <c r="F96" s="12">
        <v>0.15</v>
      </c>
      <c r="G96" s="13">
        <v>45557</v>
      </c>
      <c r="H96" s="22">
        <v>328.54</v>
      </c>
      <c r="K96" s="9">
        <f t="shared" si="2"/>
        <v>306.1112901357011</v>
      </c>
    </row>
    <row r="97" spans="1:11" x14ac:dyDescent="0.3">
      <c r="A97" s="2" t="s">
        <v>17</v>
      </c>
      <c r="B97" s="2" t="s">
        <v>20</v>
      </c>
      <c r="C97" s="2" t="s">
        <v>12</v>
      </c>
      <c r="D97" s="20">
        <v>917.48</v>
      </c>
      <c r="E97" s="6">
        <v>6</v>
      </c>
      <c r="F97" s="8">
        <v>0</v>
      </c>
      <c r="G97" s="7">
        <v>45558</v>
      </c>
      <c r="H97" s="23">
        <v>366.99</v>
      </c>
      <c r="K97" s="9">
        <f t="shared" si="2"/>
        <v>405.58948846866417</v>
      </c>
    </row>
    <row r="98" spans="1:11" x14ac:dyDescent="0.3">
      <c r="A98" s="10" t="s">
        <v>61</v>
      </c>
      <c r="B98" s="10" t="s">
        <v>11</v>
      </c>
      <c r="C98" s="10" t="s">
        <v>27</v>
      </c>
      <c r="D98" s="19">
        <v>1172.97</v>
      </c>
      <c r="E98" s="11">
        <v>7</v>
      </c>
      <c r="F98" s="12">
        <v>0.15</v>
      </c>
      <c r="G98" s="13">
        <v>45559</v>
      </c>
      <c r="H98" s="22">
        <v>348.96</v>
      </c>
      <c r="K98" s="9">
        <f t="shared" si="2"/>
        <v>338.00059090275573</v>
      </c>
    </row>
    <row r="99" spans="1:11" x14ac:dyDescent="0.3">
      <c r="A99" s="2" t="s">
        <v>23</v>
      </c>
      <c r="B99" s="2" t="s">
        <v>24</v>
      </c>
      <c r="C99" s="2" t="s">
        <v>15</v>
      </c>
      <c r="D99" s="20">
        <v>1205.82</v>
      </c>
      <c r="E99" s="6">
        <v>11</v>
      </c>
      <c r="F99" s="8">
        <v>0.1</v>
      </c>
      <c r="G99" s="7">
        <v>45559</v>
      </c>
      <c r="H99" s="23">
        <v>542.62</v>
      </c>
      <c r="K99" s="9">
        <f t="shared" si="2"/>
        <v>320.87180155906992</v>
      </c>
    </row>
    <row r="100" spans="1:11" x14ac:dyDescent="0.3">
      <c r="A100" s="10" t="s">
        <v>64</v>
      </c>
      <c r="B100" s="10" t="s">
        <v>11</v>
      </c>
      <c r="C100" s="10" t="s">
        <v>39</v>
      </c>
      <c r="D100" s="19">
        <v>826.93</v>
      </c>
      <c r="E100" s="11">
        <v>10</v>
      </c>
      <c r="F100" s="12">
        <v>0.2</v>
      </c>
      <c r="G100" s="13">
        <v>45564</v>
      </c>
      <c r="H100" s="22">
        <v>297.69</v>
      </c>
      <c r="K100" s="9">
        <f t="shared" ref="K100:K131" si="3">$J$4*D98+$J$6</f>
        <v>410.51199798304174</v>
      </c>
    </row>
    <row r="101" spans="1:11" x14ac:dyDescent="0.3">
      <c r="A101" s="2" t="s">
        <v>23</v>
      </c>
      <c r="B101" s="2" t="s">
        <v>34</v>
      </c>
      <c r="C101" s="2" t="s">
        <v>15</v>
      </c>
      <c r="D101" s="20">
        <v>902.19</v>
      </c>
      <c r="E101" s="6">
        <v>12</v>
      </c>
      <c r="F101" s="8">
        <v>0</v>
      </c>
      <c r="G101" s="7">
        <v>45564</v>
      </c>
      <c r="H101" s="23">
        <v>451.1</v>
      </c>
      <c r="K101" s="9">
        <f t="shared" si="3"/>
        <v>422.03761719525147</v>
      </c>
    </row>
    <row r="102" spans="1:11" x14ac:dyDescent="0.3">
      <c r="A102" s="10" t="s">
        <v>38</v>
      </c>
      <c r="B102" s="10" t="s">
        <v>24</v>
      </c>
      <c r="C102" s="10" t="s">
        <v>12</v>
      </c>
      <c r="D102" s="19">
        <v>585.97</v>
      </c>
      <c r="E102" s="11">
        <v>17</v>
      </c>
      <c r="F102" s="12">
        <v>0.1</v>
      </c>
      <c r="G102" s="13">
        <v>45565</v>
      </c>
      <c r="H102" s="22">
        <v>210.95</v>
      </c>
      <c r="K102" s="9">
        <f t="shared" si="3"/>
        <v>289.10179182800152</v>
      </c>
    </row>
    <row r="103" spans="1:11" x14ac:dyDescent="0.3">
      <c r="A103" s="2" t="s">
        <v>26</v>
      </c>
      <c r="B103" s="2" t="s">
        <v>24</v>
      </c>
      <c r="C103" s="2" t="s">
        <v>15</v>
      </c>
      <c r="D103" s="20">
        <v>990.19</v>
      </c>
      <c r="E103" s="6">
        <v>8</v>
      </c>
      <c r="F103" s="8">
        <v>0.1</v>
      </c>
      <c r="G103" s="7">
        <v>45565</v>
      </c>
      <c r="H103" s="23">
        <v>445.59</v>
      </c>
      <c r="K103" s="9">
        <f t="shared" si="3"/>
        <v>315.50721349956649</v>
      </c>
    </row>
    <row r="104" spans="1:11" x14ac:dyDescent="0.3">
      <c r="A104" s="10" t="s">
        <v>56</v>
      </c>
      <c r="B104" s="10" t="s">
        <v>34</v>
      </c>
      <c r="C104" s="10" t="s">
        <v>21</v>
      </c>
      <c r="D104" s="19">
        <v>1014.09</v>
      </c>
      <c r="E104" s="11">
        <v>13</v>
      </c>
      <c r="F104" s="12">
        <v>0.2</v>
      </c>
      <c r="G104" s="13">
        <v>45567</v>
      </c>
      <c r="H104" s="22">
        <v>202.82</v>
      </c>
      <c r="K104" s="9">
        <f t="shared" si="3"/>
        <v>204.55953291250486</v>
      </c>
    </row>
    <row r="105" spans="1:11" x14ac:dyDescent="0.3">
      <c r="A105" s="2" t="s">
        <v>48</v>
      </c>
      <c r="B105" s="2" t="s">
        <v>24</v>
      </c>
      <c r="C105" s="2" t="s">
        <v>21</v>
      </c>
      <c r="D105" s="20">
        <v>925.29</v>
      </c>
      <c r="E105" s="6">
        <v>17</v>
      </c>
      <c r="F105" s="8">
        <v>0</v>
      </c>
      <c r="G105" s="7">
        <v>45570</v>
      </c>
      <c r="H105" s="23">
        <v>231.32</v>
      </c>
      <c r="K105" s="9">
        <f t="shared" si="3"/>
        <v>346.38254046073729</v>
      </c>
    </row>
    <row r="106" spans="1:11" x14ac:dyDescent="0.3">
      <c r="A106" s="10" t="s">
        <v>47</v>
      </c>
      <c r="B106" s="10" t="s">
        <v>18</v>
      </c>
      <c r="C106" s="10" t="s">
        <v>27</v>
      </c>
      <c r="D106" s="19">
        <v>1286.54</v>
      </c>
      <c r="E106" s="11">
        <v>8</v>
      </c>
      <c r="F106" s="12">
        <v>0</v>
      </c>
      <c r="G106" s="13">
        <v>45575</v>
      </c>
      <c r="H106" s="22">
        <v>450.29</v>
      </c>
      <c r="K106" s="9">
        <f t="shared" si="3"/>
        <v>354.76799857860067</v>
      </c>
    </row>
    <row r="107" spans="1:11" x14ac:dyDescent="0.3">
      <c r="A107" s="2" t="s">
        <v>64</v>
      </c>
      <c r="B107" s="2" t="s">
        <v>20</v>
      </c>
      <c r="C107" s="2" t="s">
        <v>12</v>
      </c>
      <c r="D107" s="20">
        <v>961.62</v>
      </c>
      <c r="E107" s="6">
        <v>8</v>
      </c>
      <c r="F107" s="8">
        <v>0.2</v>
      </c>
      <c r="G107" s="7">
        <v>45577</v>
      </c>
      <c r="H107" s="23">
        <v>307.72000000000003</v>
      </c>
      <c r="K107" s="9">
        <f t="shared" si="3"/>
        <v>323.61198682687376</v>
      </c>
    </row>
    <row r="108" spans="1:11" x14ac:dyDescent="0.3">
      <c r="A108" s="10" t="s">
        <v>23</v>
      </c>
      <c r="B108" s="10" t="s">
        <v>18</v>
      </c>
      <c r="C108" s="10" t="s">
        <v>12</v>
      </c>
      <c r="D108" s="19">
        <v>1081.1400000000001</v>
      </c>
      <c r="E108" s="11">
        <v>19</v>
      </c>
      <c r="F108" s="12">
        <v>0.15</v>
      </c>
      <c r="G108" s="13">
        <v>45577</v>
      </c>
      <c r="H108" s="22">
        <v>367.59</v>
      </c>
      <c r="K108" s="9">
        <f t="shared" si="3"/>
        <v>450.3587125623618</v>
      </c>
    </row>
    <row r="109" spans="1:11" x14ac:dyDescent="0.3">
      <c r="A109" s="2" t="s">
        <v>23</v>
      </c>
      <c r="B109" s="2" t="s">
        <v>11</v>
      </c>
      <c r="C109" s="2" t="s">
        <v>15</v>
      </c>
      <c r="D109" s="20">
        <v>1923.66</v>
      </c>
      <c r="E109" s="6">
        <v>9</v>
      </c>
      <c r="F109" s="8">
        <v>0.2</v>
      </c>
      <c r="G109" s="7">
        <v>45580</v>
      </c>
      <c r="H109" s="23">
        <v>769.46</v>
      </c>
      <c r="K109" s="9">
        <f t="shared" si="3"/>
        <v>336.3585848780026</v>
      </c>
    </row>
    <row r="110" spans="1:11" x14ac:dyDescent="0.3">
      <c r="A110" s="10" t="s">
        <v>66</v>
      </c>
      <c r="B110" s="10" t="s">
        <v>34</v>
      </c>
      <c r="C110" s="10" t="s">
        <v>15</v>
      </c>
      <c r="D110" s="19">
        <v>728.71</v>
      </c>
      <c r="E110" s="11">
        <v>14</v>
      </c>
      <c r="F110" s="12">
        <v>0.1</v>
      </c>
      <c r="G110" s="13">
        <v>45581</v>
      </c>
      <c r="H110" s="22">
        <v>327.92</v>
      </c>
      <c r="K110" s="9">
        <f t="shared" si="3"/>
        <v>378.29289258708366</v>
      </c>
    </row>
    <row r="111" spans="1:11" x14ac:dyDescent="0.3">
      <c r="A111" s="2" t="s">
        <v>33</v>
      </c>
      <c r="B111" s="2" t="s">
        <v>34</v>
      </c>
      <c r="C111" s="2" t="s">
        <v>15</v>
      </c>
      <c r="D111" s="20">
        <v>1301.8900000000001</v>
      </c>
      <c r="E111" s="6">
        <v>7</v>
      </c>
      <c r="F111" s="8">
        <v>0.15</v>
      </c>
      <c r="G111" s="7">
        <v>45581</v>
      </c>
      <c r="H111" s="23">
        <v>553.29999999999995</v>
      </c>
      <c r="K111" s="9">
        <f t="shared" si="3"/>
        <v>673.8960797612383</v>
      </c>
    </row>
    <row r="112" spans="1:11" x14ac:dyDescent="0.3">
      <c r="A112" s="10" t="s">
        <v>66</v>
      </c>
      <c r="B112" s="10" t="s">
        <v>18</v>
      </c>
      <c r="C112" s="10" t="s">
        <v>12</v>
      </c>
      <c r="D112" s="19">
        <v>980.18</v>
      </c>
      <c r="E112" s="11">
        <v>16</v>
      </c>
      <c r="F112" s="12">
        <v>0.1</v>
      </c>
      <c r="G112" s="13">
        <v>45582</v>
      </c>
      <c r="H112" s="22">
        <v>352.86</v>
      </c>
      <c r="K112" s="9">
        <f t="shared" si="3"/>
        <v>254.64071666747662</v>
      </c>
    </row>
    <row r="113" spans="1:11" x14ac:dyDescent="0.3">
      <c r="A113" s="2" t="s">
        <v>23</v>
      </c>
      <c r="B113" s="2" t="s">
        <v>11</v>
      </c>
      <c r="C113" s="2" t="s">
        <v>15</v>
      </c>
      <c r="D113" s="20">
        <v>697.57</v>
      </c>
      <c r="E113" s="6">
        <v>17</v>
      </c>
      <c r="F113" s="8">
        <v>0.1</v>
      </c>
      <c r="G113" s="7">
        <v>45584</v>
      </c>
      <c r="H113" s="23">
        <v>313.91000000000003</v>
      </c>
      <c r="K113" s="9">
        <f t="shared" si="3"/>
        <v>455.74435198115697</v>
      </c>
    </row>
    <row r="114" spans="1:11" x14ac:dyDescent="0.3">
      <c r="A114" s="10" t="s">
        <v>71</v>
      </c>
      <c r="B114" s="10" t="s">
        <v>11</v>
      </c>
      <c r="C114" s="10" t="s">
        <v>27</v>
      </c>
      <c r="D114" s="19">
        <v>1193.6099999999999</v>
      </c>
      <c r="E114" s="11">
        <v>1</v>
      </c>
      <c r="F114" s="12">
        <v>0.15</v>
      </c>
      <c r="G114" s="13">
        <v>45584</v>
      </c>
      <c r="H114" s="22">
        <v>355.1</v>
      </c>
      <c r="K114" s="9">
        <f t="shared" si="3"/>
        <v>342.87047201890408</v>
      </c>
    </row>
    <row r="115" spans="1:11" x14ac:dyDescent="0.3">
      <c r="A115" s="2" t="s">
        <v>38</v>
      </c>
      <c r="B115" s="2" t="s">
        <v>20</v>
      </c>
      <c r="C115" s="2" t="s">
        <v>21</v>
      </c>
      <c r="D115" s="20">
        <v>771.02</v>
      </c>
      <c r="E115" s="6">
        <v>1</v>
      </c>
      <c r="F115" s="8">
        <v>0</v>
      </c>
      <c r="G115" s="7">
        <v>45585</v>
      </c>
      <c r="H115" s="23">
        <v>192.76</v>
      </c>
      <c r="K115" s="9">
        <f t="shared" si="3"/>
        <v>243.71506119508052</v>
      </c>
    </row>
    <row r="116" spans="1:11" x14ac:dyDescent="0.3">
      <c r="A116" s="10" t="s">
        <v>69</v>
      </c>
      <c r="B116" s="10" t="s">
        <v>24</v>
      </c>
      <c r="C116" s="10" t="s">
        <v>15</v>
      </c>
      <c r="D116" s="19">
        <v>661.09</v>
      </c>
      <c r="E116" s="11">
        <v>1</v>
      </c>
      <c r="F116" s="12">
        <v>0.2</v>
      </c>
      <c r="G116" s="13">
        <v>45593</v>
      </c>
      <c r="H116" s="22">
        <v>264.44</v>
      </c>
      <c r="K116" s="9">
        <f t="shared" si="3"/>
        <v>417.75366557938901</v>
      </c>
    </row>
    <row r="117" spans="1:11" x14ac:dyDescent="0.3">
      <c r="A117" s="2" t="s">
        <v>55</v>
      </c>
      <c r="B117" s="2" t="s">
        <v>11</v>
      </c>
      <c r="C117" s="2" t="s">
        <v>21</v>
      </c>
      <c r="D117" s="20">
        <v>688.83</v>
      </c>
      <c r="E117" s="6">
        <v>15</v>
      </c>
      <c r="F117" s="8">
        <v>0</v>
      </c>
      <c r="G117" s="7">
        <v>45595</v>
      </c>
      <c r="H117" s="23">
        <v>172.21</v>
      </c>
      <c r="K117" s="9">
        <f t="shared" si="3"/>
        <v>269.48543352801227</v>
      </c>
    </row>
    <row r="118" spans="1:11" x14ac:dyDescent="0.3">
      <c r="A118" s="10" t="s">
        <v>29</v>
      </c>
      <c r="B118" s="10" t="s">
        <v>34</v>
      </c>
      <c r="C118" s="10" t="s">
        <v>12</v>
      </c>
      <c r="D118" s="19">
        <v>1249.0999999999999</v>
      </c>
      <c r="E118" s="11">
        <v>4</v>
      </c>
      <c r="F118" s="12">
        <v>0.05</v>
      </c>
      <c r="G118" s="13">
        <v>45597</v>
      </c>
      <c r="H118" s="22">
        <v>474.66</v>
      </c>
      <c r="K118" s="9">
        <f t="shared" si="3"/>
        <v>230.91583474572246</v>
      </c>
    </row>
    <row r="119" spans="1:11" x14ac:dyDescent="0.3">
      <c r="A119" s="2" t="s">
        <v>23</v>
      </c>
      <c r="B119" s="2" t="s">
        <v>18</v>
      </c>
      <c r="C119" s="2" t="s">
        <v>39</v>
      </c>
      <c r="D119" s="20">
        <v>1014.22</v>
      </c>
      <c r="E119" s="6">
        <v>14</v>
      </c>
      <c r="F119" s="8">
        <v>0.05</v>
      </c>
      <c r="G119" s="7">
        <v>45599</v>
      </c>
      <c r="H119" s="23">
        <v>433.58</v>
      </c>
      <c r="K119" s="9">
        <f t="shared" si="3"/>
        <v>240.64857985825515</v>
      </c>
    </row>
    <row r="120" spans="1:11" x14ac:dyDescent="0.3">
      <c r="A120" s="10" t="s">
        <v>48</v>
      </c>
      <c r="B120" s="10" t="s">
        <v>18</v>
      </c>
      <c r="C120" s="10" t="s">
        <v>12</v>
      </c>
      <c r="D120" s="19">
        <v>1010.58</v>
      </c>
      <c r="E120" s="11">
        <v>2</v>
      </c>
      <c r="F120" s="12">
        <v>0.15</v>
      </c>
      <c r="G120" s="13">
        <v>45605</v>
      </c>
      <c r="H120" s="22">
        <v>343.6</v>
      </c>
      <c r="K120" s="9">
        <f t="shared" si="3"/>
        <v>437.22266436433637</v>
      </c>
    </row>
    <row r="121" spans="1:11" x14ac:dyDescent="0.3">
      <c r="A121" s="2" t="s">
        <v>59</v>
      </c>
      <c r="B121" s="2" t="s">
        <v>24</v>
      </c>
      <c r="C121" s="2" t="s">
        <v>27</v>
      </c>
      <c r="D121" s="20">
        <v>957.29</v>
      </c>
      <c r="E121" s="6">
        <v>4</v>
      </c>
      <c r="F121" s="8">
        <v>0.05</v>
      </c>
      <c r="G121" s="7">
        <v>45605</v>
      </c>
      <c r="H121" s="23">
        <v>318.3</v>
      </c>
      <c r="K121" s="9">
        <f t="shared" si="3"/>
        <v>354.81360985706607</v>
      </c>
    </row>
    <row r="122" spans="1:11" x14ac:dyDescent="0.3">
      <c r="A122" s="10" t="s">
        <v>45</v>
      </c>
      <c r="B122" s="10" t="s">
        <v>24</v>
      </c>
      <c r="C122" s="10" t="s">
        <v>27</v>
      </c>
      <c r="D122" s="19">
        <v>1077.92</v>
      </c>
      <c r="E122" s="11">
        <v>3</v>
      </c>
      <c r="F122" s="12">
        <v>0.05</v>
      </c>
      <c r="G122" s="13">
        <v>45608</v>
      </c>
      <c r="H122" s="22">
        <v>358.41</v>
      </c>
      <c r="K122" s="9">
        <f t="shared" si="3"/>
        <v>353.53649406003581</v>
      </c>
    </row>
    <row r="123" spans="1:11" x14ac:dyDescent="0.3">
      <c r="A123" s="2" t="s">
        <v>50</v>
      </c>
      <c r="B123" s="2" t="s">
        <v>20</v>
      </c>
      <c r="C123" s="2" t="s">
        <v>15</v>
      </c>
      <c r="D123" s="20">
        <v>1163.01</v>
      </c>
      <c r="E123" s="6">
        <v>5</v>
      </c>
      <c r="F123" s="8">
        <v>0</v>
      </c>
      <c r="G123" s="7">
        <v>45611</v>
      </c>
      <c r="H123" s="23">
        <v>581.5</v>
      </c>
      <c r="K123" s="9">
        <f t="shared" si="3"/>
        <v>334.8393784491177</v>
      </c>
    </row>
    <row r="124" spans="1:11" x14ac:dyDescent="0.3">
      <c r="A124" s="10" t="s">
        <v>45</v>
      </c>
      <c r="B124" s="10" t="s">
        <v>18</v>
      </c>
      <c r="C124" s="10" t="s">
        <v>39</v>
      </c>
      <c r="D124" s="19">
        <v>1014.56</v>
      </c>
      <c r="E124" s="11">
        <v>10</v>
      </c>
      <c r="F124" s="12">
        <v>0.1</v>
      </c>
      <c r="G124" s="13">
        <v>45612</v>
      </c>
      <c r="H124" s="22">
        <v>410.9</v>
      </c>
      <c r="K124" s="9">
        <f t="shared" si="3"/>
        <v>377.16313630509535</v>
      </c>
    </row>
    <row r="125" spans="1:11" x14ac:dyDescent="0.3">
      <c r="A125" s="2" t="s">
        <v>17</v>
      </c>
      <c r="B125" s="2" t="s">
        <v>20</v>
      </c>
      <c r="C125" s="2" t="s">
        <v>21</v>
      </c>
      <c r="D125" s="20">
        <v>718.04</v>
      </c>
      <c r="E125" s="6">
        <v>14</v>
      </c>
      <c r="F125" s="8">
        <v>0</v>
      </c>
      <c r="G125" s="7">
        <v>45613</v>
      </c>
      <c r="H125" s="23">
        <v>179.51</v>
      </c>
      <c r="K125" s="9">
        <f t="shared" si="3"/>
        <v>407.01747234061833</v>
      </c>
    </row>
    <row r="126" spans="1:11" x14ac:dyDescent="0.3">
      <c r="A126" s="10" t="s">
        <v>17</v>
      </c>
      <c r="B126" s="10" t="s">
        <v>34</v>
      </c>
      <c r="C126" s="10" t="s">
        <v>15</v>
      </c>
      <c r="D126" s="19">
        <v>1277.8499999999999</v>
      </c>
      <c r="E126" s="11">
        <v>18</v>
      </c>
      <c r="F126" s="12">
        <v>0.2</v>
      </c>
      <c r="G126" s="13">
        <v>45613</v>
      </c>
      <c r="H126" s="22">
        <v>511.14</v>
      </c>
      <c r="K126" s="9">
        <f t="shared" si="3"/>
        <v>354.93290089305236</v>
      </c>
    </row>
    <row r="127" spans="1:11" x14ac:dyDescent="0.3">
      <c r="A127" s="2" t="s">
        <v>23</v>
      </c>
      <c r="B127" s="2" t="s">
        <v>24</v>
      </c>
      <c r="C127" s="2" t="s">
        <v>21</v>
      </c>
      <c r="D127" s="20">
        <v>706.73</v>
      </c>
      <c r="E127" s="6">
        <v>1</v>
      </c>
      <c r="F127" s="8">
        <v>0.15</v>
      </c>
      <c r="G127" s="7">
        <v>45613</v>
      </c>
      <c r="H127" s="23">
        <v>150.18</v>
      </c>
      <c r="K127" s="9">
        <f t="shared" si="3"/>
        <v>250.89708327343465</v>
      </c>
    </row>
    <row r="128" spans="1:11" x14ac:dyDescent="0.3">
      <c r="A128" s="10" t="s">
        <v>50</v>
      </c>
      <c r="B128" s="10" t="s">
        <v>18</v>
      </c>
      <c r="C128" s="10" t="s">
        <v>21</v>
      </c>
      <c r="D128" s="19">
        <v>1410.59</v>
      </c>
      <c r="E128" s="11">
        <v>15</v>
      </c>
      <c r="F128" s="12">
        <v>0</v>
      </c>
      <c r="G128" s="13">
        <v>45615</v>
      </c>
      <c r="H128" s="22">
        <v>352.65</v>
      </c>
      <c r="K128" s="9">
        <f t="shared" si="3"/>
        <v>447.30977402494614</v>
      </c>
    </row>
    <row r="129" spans="1:11" x14ac:dyDescent="0.3">
      <c r="A129" s="2" t="s">
        <v>61</v>
      </c>
      <c r="B129" s="2" t="s">
        <v>20</v>
      </c>
      <c r="C129" s="2" t="s">
        <v>27</v>
      </c>
      <c r="D129" s="20">
        <v>1350.33</v>
      </c>
      <c r="E129" s="6">
        <v>10</v>
      </c>
      <c r="F129" s="8">
        <v>0</v>
      </c>
      <c r="G129" s="7">
        <v>45615</v>
      </c>
      <c r="H129" s="23">
        <v>472.62</v>
      </c>
      <c r="K129" s="9">
        <f t="shared" si="3"/>
        <v>246.92890204694783</v>
      </c>
    </row>
    <row r="130" spans="1:11" x14ac:dyDescent="0.3">
      <c r="A130" s="10" t="s">
        <v>45</v>
      </c>
      <c r="B130" s="10" t="s">
        <v>18</v>
      </c>
      <c r="C130" s="10" t="s">
        <v>21</v>
      </c>
      <c r="D130" s="19">
        <v>919.18</v>
      </c>
      <c r="E130" s="11">
        <v>4</v>
      </c>
      <c r="F130" s="12">
        <v>0.15</v>
      </c>
      <c r="G130" s="13">
        <v>45615</v>
      </c>
      <c r="H130" s="22">
        <v>195.33</v>
      </c>
      <c r="K130" s="9">
        <f t="shared" si="3"/>
        <v>493.88239789796671</v>
      </c>
    </row>
    <row r="131" spans="1:11" x14ac:dyDescent="0.3">
      <c r="A131" s="2" t="s">
        <v>23</v>
      </c>
      <c r="B131" s="2" t="s">
        <v>11</v>
      </c>
      <c r="C131" s="2" t="s">
        <v>21</v>
      </c>
      <c r="D131" s="20">
        <v>258.51</v>
      </c>
      <c r="E131" s="6">
        <v>19</v>
      </c>
      <c r="F131" s="8">
        <v>0</v>
      </c>
      <c r="G131" s="7">
        <v>45616</v>
      </c>
      <c r="H131" s="23">
        <v>64.63</v>
      </c>
      <c r="K131" s="9">
        <f t="shared" si="3"/>
        <v>472.73981604932862</v>
      </c>
    </row>
    <row r="132" spans="1:11" x14ac:dyDescent="0.3">
      <c r="A132" s="10" t="s">
        <v>61</v>
      </c>
      <c r="B132" s="10" t="s">
        <v>18</v>
      </c>
      <c r="C132" s="10" t="s">
        <v>12</v>
      </c>
      <c r="D132" s="19">
        <v>1213.48</v>
      </c>
      <c r="E132" s="11">
        <v>5</v>
      </c>
      <c r="F132" s="12">
        <v>0.05</v>
      </c>
      <c r="G132" s="13">
        <v>45616</v>
      </c>
      <c r="H132" s="22">
        <v>461.12</v>
      </c>
      <c r="K132" s="9">
        <f t="shared" ref="K132:K163" si="4">$J$4*D130+$J$6</f>
        <v>321.46825673900156</v>
      </c>
    </row>
    <row r="133" spans="1:11" x14ac:dyDescent="0.3">
      <c r="A133" s="2" t="s">
        <v>38</v>
      </c>
      <c r="B133" s="2" t="s">
        <v>34</v>
      </c>
      <c r="C133" s="2" t="s">
        <v>12</v>
      </c>
      <c r="D133" s="20">
        <v>1150.28</v>
      </c>
      <c r="E133" s="6">
        <v>8</v>
      </c>
      <c r="F133" s="8">
        <v>0.05</v>
      </c>
      <c r="G133" s="7">
        <v>45622</v>
      </c>
      <c r="H133" s="23">
        <v>437.11</v>
      </c>
      <c r="K133" s="9">
        <f t="shared" si="4"/>
        <v>89.668231018130029</v>
      </c>
    </row>
    <row r="134" spans="1:11" x14ac:dyDescent="0.3">
      <c r="A134" s="10" t="s">
        <v>71</v>
      </c>
      <c r="B134" s="10" t="s">
        <v>20</v>
      </c>
      <c r="C134" s="10" t="s">
        <v>27</v>
      </c>
      <c r="D134" s="19">
        <v>853.86</v>
      </c>
      <c r="E134" s="11">
        <v>8</v>
      </c>
      <c r="F134" s="12">
        <v>0.1</v>
      </c>
      <c r="G134" s="13">
        <v>45622</v>
      </c>
      <c r="H134" s="22">
        <v>268.97000000000003</v>
      </c>
      <c r="K134" s="9">
        <f t="shared" si="4"/>
        <v>424.72517406482615</v>
      </c>
    </row>
    <row r="135" spans="1:11" x14ac:dyDescent="0.3">
      <c r="A135" s="2" t="s">
        <v>45</v>
      </c>
      <c r="B135" s="2" t="s">
        <v>20</v>
      </c>
      <c r="C135" s="2" t="s">
        <v>21</v>
      </c>
      <c r="D135" s="20">
        <v>1061.04</v>
      </c>
      <c r="E135" s="6">
        <v>1</v>
      </c>
      <c r="F135" s="8">
        <v>0</v>
      </c>
      <c r="G135" s="7">
        <v>45624</v>
      </c>
      <c r="H135" s="23">
        <v>265.26</v>
      </c>
      <c r="K135" s="9">
        <f t="shared" si="4"/>
        <v>402.55107561089437</v>
      </c>
    </row>
    <row r="136" spans="1:11" x14ac:dyDescent="0.3">
      <c r="A136" s="10" t="s">
        <v>43</v>
      </c>
      <c r="B136" s="10" t="s">
        <v>11</v>
      </c>
      <c r="C136" s="10" t="s">
        <v>21</v>
      </c>
      <c r="D136" s="19">
        <v>894.55</v>
      </c>
      <c r="E136" s="11">
        <v>19</v>
      </c>
      <c r="F136" s="12">
        <v>0.2</v>
      </c>
      <c r="G136" s="13">
        <v>45625</v>
      </c>
      <c r="H136" s="22">
        <v>178.91</v>
      </c>
      <c r="K136" s="9">
        <f t="shared" si="4"/>
        <v>298.55034359009619</v>
      </c>
    </row>
    <row r="137" spans="1:11" x14ac:dyDescent="0.3">
      <c r="A137" s="2" t="s">
        <v>38</v>
      </c>
      <c r="B137" s="2" t="s">
        <v>24</v>
      </c>
      <c r="C137" s="2" t="s">
        <v>39</v>
      </c>
      <c r="D137" s="20">
        <v>833.91</v>
      </c>
      <c r="E137" s="6">
        <v>3</v>
      </c>
      <c r="F137" s="8">
        <v>0.05</v>
      </c>
      <c r="G137" s="7">
        <v>45626</v>
      </c>
      <c r="H137" s="23">
        <v>356.5</v>
      </c>
      <c r="K137" s="9">
        <f t="shared" si="4"/>
        <v>371.24068722436169</v>
      </c>
    </row>
    <row r="138" spans="1:11" x14ac:dyDescent="0.3">
      <c r="A138" s="10" t="s">
        <v>71</v>
      </c>
      <c r="B138" s="10" t="s">
        <v>11</v>
      </c>
      <c r="C138" s="10" t="s">
        <v>27</v>
      </c>
      <c r="D138" s="19">
        <v>820.19</v>
      </c>
      <c r="E138" s="11">
        <v>4</v>
      </c>
      <c r="F138" s="12">
        <v>0.2</v>
      </c>
      <c r="G138" s="13">
        <v>45630</v>
      </c>
      <c r="H138" s="22">
        <v>229.65</v>
      </c>
      <c r="K138" s="9">
        <f t="shared" si="4"/>
        <v>312.82667374975574</v>
      </c>
    </row>
    <row r="139" spans="1:11" x14ac:dyDescent="0.3">
      <c r="A139" s="2" t="s">
        <v>38</v>
      </c>
      <c r="B139" s="2" t="s">
        <v>34</v>
      </c>
      <c r="C139" s="2" t="s">
        <v>21</v>
      </c>
      <c r="D139" s="20">
        <v>511.74</v>
      </c>
      <c r="E139" s="6">
        <v>8</v>
      </c>
      <c r="F139" s="8">
        <v>0.05</v>
      </c>
      <c r="G139" s="7">
        <v>45631</v>
      </c>
      <c r="H139" s="23">
        <v>121.54</v>
      </c>
      <c r="K139" s="9">
        <f t="shared" si="4"/>
        <v>291.5507666256035</v>
      </c>
    </row>
    <row r="140" spans="1:11" x14ac:dyDescent="0.3">
      <c r="A140" s="10" t="s">
        <v>61</v>
      </c>
      <c r="B140" s="10" t="s">
        <v>20</v>
      </c>
      <c r="C140" s="10" t="s">
        <v>27</v>
      </c>
      <c r="D140" s="19">
        <v>806.03</v>
      </c>
      <c r="E140" s="11">
        <v>19</v>
      </c>
      <c r="F140" s="12">
        <v>0.05</v>
      </c>
      <c r="G140" s="13">
        <v>45638</v>
      </c>
      <c r="H140" s="22">
        <v>268</v>
      </c>
      <c r="K140" s="9">
        <f t="shared" si="4"/>
        <v>286.73702246756642</v>
      </c>
    </row>
    <row r="141" spans="1:11" x14ac:dyDescent="0.3">
      <c r="A141" s="2" t="s">
        <v>26</v>
      </c>
      <c r="B141" s="2" t="s">
        <v>34</v>
      </c>
      <c r="C141" s="2" t="s">
        <v>27</v>
      </c>
      <c r="D141" s="20">
        <v>1432.47</v>
      </c>
      <c r="E141" s="6">
        <v>16</v>
      </c>
      <c r="F141" s="8">
        <v>0.15</v>
      </c>
      <c r="G141" s="7">
        <v>45640</v>
      </c>
      <c r="H141" s="23">
        <v>426.16</v>
      </c>
      <c r="K141" s="9">
        <f t="shared" si="4"/>
        <v>178.51549290878091</v>
      </c>
    </row>
    <row r="142" spans="1:11" x14ac:dyDescent="0.3">
      <c r="A142" s="10" t="s">
        <v>29</v>
      </c>
      <c r="B142" s="10" t="s">
        <v>34</v>
      </c>
      <c r="C142" s="10" t="s">
        <v>21</v>
      </c>
      <c r="D142" s="19">
        <v>1488.58</v>
      </c>
      <c r="E142" s="11">
        <v>10</v>
      </c>
      <c r="F142" s="12">
        <v>0.15</v>
      </c>
      <c r="G142" s="13">
        <v>45640</v>
      </c>
      <c r="H142" s="22">
        <v>316.32</v>
      </c>
      <c r="K142" s="9">
        <f t="shared" si="4"/>
        <v>281.76890167472351</v>
      </c>
    </row>
    <row r="143" spans="1:11" x14ac:dyDescent="0.3">
      <c r="A143" s="2" t="s">
        <v>66</v>
      </c>
      <c r="B143" s="2" t="s">
        <v>18</v>
      </c>
      <c r="C143" s="2" t="s">
        <v>12</v>
      </c>
      <c r="D143" s="20">
        <v>1231.26</v>
      </c>
      <c r="E143" s="6">
        <v>9</v>
      </c>
      <c r="F143" s="8">
        <v>0</v>
      </c>
      <c r="G143" s="7">
        <v>45646</v>
      </c>
      <c r="H143" s="23">
        <v>492.5</v>
      </c>
      <c r="K143" s="9">
        <f t="shared" si="4"/>
        <v>501.55912691967603</v>
      </c>
    </row>
    <row r="144" spans="1:11" x14ac:dyDescent="0.3">
      <c r="A144" s="10" t="s">
        <v>43</v>
      </c>
      <c r="B144" s="10" t="s">
        <v>11</v>
      </c>
      <c r="C144" s="10" t="s">
        <v>21</v>
      </c>
      <c r="D144" s="19">
        <v>1161.67</v>
      </c>
      <c r="E144" s="11">
        <v>19</v>
      </c>
      <c r="F144" s="12">
        <v>0.2</v>
      </c>
      <c r="G144" s="13">
        <v>45647</v>
      </c>
      <c r="H144" s="22">
        <v>232.33</v>
      </c>
      <c r="K144" s="9">
        <f t="shared" si="4"/>
        <v>521.2456564173043</v>
      </c>
    </row>
    <row r="145" spans="1:11" x14ac:dyDescent="0.3">
      <c r="A145" s="2" t="s">
        <v>45</v>
      </c>
      <c r="B145" s="2" t="s">
        <v>34</v>
      </c>
      <c r="C145" s="2" t="s">
        <v>39</v>
      </c>
      <c r="D145" s="20">
        <v>388.23</v>
      </c>
      <c r="E145" s="6">
        <v>16</v>
      </c>
      <c r="F145" s="8">
        <v>0.05</v>
      </c>
      <c r="G145" s="7">
        <v>45650</v>
      </c>
      <c r="H145" s="23">
        <v>165.97</v>
      </c>
      <c r="K145" s="9">
        <f t="shared" si="4"/>
        <v>430.96339353493545</v>
      </c>
    </row>
    <row r="146" spans="1:11" x14ac:dyDescent="0.3">
      <c r="A146" s="10" t="s">
        <v>31</v>
      </c>
      <c r="B146" s="10" t="s">
        <v>24</v>
      </c>
      <c r="C146" s="10" t="s">
        <v>15</v>
      </c>
      <c r="D146" s="19">
        <v>1589.42</v>
      </c>
      <c r="E146" s="11">
        <v>6</v>
      </c>
      <c r="F146" s="12">
        <v>0.15</v>
      </c>
      <c r="G146" s="13">
        <v>45651</v>
      </c>
      <c r="H146" s="22">
        <v>675.5</v>
      </c>
      <c r="K146" s="9">
        <f t="shared" si="4"/>
        <v>406.54732531643685</v>
      </c>
    </row>
    <row r="147" spans="1:11" x14ac:dyDescent="0.3">
      <c r="A147" s="2" t="s">
        <v>71</v>
      </c>
      <c r="B147" s="2" t="s">
        <v>24</v>
      </c>
      <c r="C147" s="2" t="s">
        <v>15</v>
      </c>
      <c r="D147" s="20">
        <v>336.66</v>
      </c>
      <c r="E147" s="6">
        <v>13</v>
      </c>
      <c r="F147" s="8">
        <v>0.2</v>
      </c>
      <c r="G147" s="7">
        <v>45651</v>
      </c>
      <c r="H147" s="23">
        <v>134.66</v>
      </c>
      <c r="K147" s="9">
        <f t="shared" si="4"/>
        <v>135.18126980680134</v>
      </c>
    </row>
    <row r="148" spans="1:11" x14ac:dyDescent="0.3">
      <c r="A148" s="10" t="s">
        <v>23</v>
      </c>
      <c r="B148" s="10" t="s">
        <v>11</v>
      </c>
      <c r="C148" s="10" t="s">
        <v>12</v>
      </c>
      <c r="D148" s="19">
        <v>1353.79</v>
      </c>
      <c r="E148" s="11">
        <v>14</v>
      </c>
      <c r="F148" s="12">
        <v>0.1</v>
      </c>
      <c r="G148" s="13">
        <v>45656</v>
      </c>
      <c r="H148" s="22">
        <v>487.36</v>
      </c>
      <c r="K148" s="9">
        <f t="shared" si="4"/>
        <v>556.62597426690047</v>
      </c>
    </row>
    <row r="149" spans="1:11" x14ac:dyDescent="0.3">
      <c r="A149" s="2" t="s">
        <v>69</v>
      </c>
      <c r="B149" s="2" t="s">
        <v>34</v>
      </c>
      <c r="C149" s="2" t="s">
        <v>15</v>
      </c>
      <c r="D149" s="20">
        <v>662.61</v>
      </c>
      <c r="E149" s="6">
        <v>11</v>
      </c>
      <c r="F149" s="8">
        <v>0.05</v>
      </c>
      <c r="G149" s="7">
        <v>45658</v>
      </c>
      <c r="H149" s="23">
        <v>314.74</v>
      </c>
      <c r="K149" s="9">
        <f t="shared" si="4"/>
        <v>117.08762649557886</v>
      </c>
    </row>
    <row r="150" spans="1:11" x14ac:dyDescent="0.3">
      <c r="A150" s="10" t="s">
        <v>48</v>
      </c>
      <c r="B150" s="10" t="s">
        <v>24</v>
      </c>
      <c r="C150" s="10" t="s">
        <v>39</v>
      </c>
      <c r="D150" s="19">
        <v>309.42</v>
      </c>
      <c r="E150" s="11">
        <v>1</v>
      </c>
      <c r="F150" s="12">
        <v>0.2</v>
      </c>
      <c r="G150" s="13">
        <v>45658</v>
      </c>
      <c r="H150" s="22">
        <v>111.39</v>
      </c>
      <c r="K150" s="9">
        <f t="shared" si="4"/>
        <v>473.95377776848375</v>
      </c>
    </row>
    <row r="151" spans="1:11" x14ac:dyDescent="0.3">
      <c r="A151" s="2" t="s">
        <v>29</v>
      </c>
      <c r="B151" s="2" t="s">
        <v>24</v>
      </c>
      <c r="C151" s="2" t="s">
        <v>12</v>
      </c>
      <c r="D151" s="20">
        <v>884.63</v>
      </c>
      <c r="E151" s="6">
        <v>18</v>
      </c>
      <c r="F151" s="8">
        <v>0.1</v>
      </c>
      <c r="G151" s="7">
        <v>45659</v>
      </c>
      <c r="H151" s="23">
        <v>318.47000000000003</v>
      </c>
      <c r="K151" s="9">
        <f t="shared" si="4"/>
        <v>231.44913584777902</v>
      </c>
    </row>
    <row r="152" spans="1:11" x14ac:dyDescent="0.3">
      <c r="A152" s="10" t="s">
        <v>23</v>
      </c>
      <c r="B152" s="10" t="s">
        <v>34</v>
      </c>
      <c r="C152" s="10" t="s">
        <v>39</v>
      </c>
      <c r="D152" s="19">
        <v>745.05</v>
      </c>
      <c r="E152" s="11">
        <v>10</v>
      </c>
      <c r="F152" s="12">
        <v>0.1</v>
      </c>
      <c r="G152" s="13">
        <v>45660</v>
      </c>
      <c r="H152" s="22">
        <v>301.75</v>
      </c>
      <c r="K152" s="9">
        <f t="shared" si="4"/>
        <v>107.53030937714372</v>
      </c>
    </row>
    <row r="153" spans="1:11" x14ac:dyDescent="0.3">
      <c r="A153" s="2" t="s">
        <v>17</v>
      </c>
      <c r="B153" s="2" t="s">
        <v>20</v>
      </c>
      <c r="C153" s="2" t="s">
        <v>15</v>
      </c>
      <c r="D153" s="20">
        <v>870.23</v>
      </c>
      <c r="E153" s="6">
        <v>5</v>
      </c>
      <c r="F153" s="8">
        <v>0.05</v>
      </c>
      <c r="G153" s="7">
        <v>45660</v>
      </c>
      <c r="H153" s="23">
        <v>413.36</v>
      </c>
      <c r="K153" s="9">
        <f t="shared" si="4"/>
        <v>309.34618234686013</v>
      </c>
    </row>
    <row r="154" spans="1:11" x14ac:dyDescent="0.3">
      <c r="A154" s="10" t="s">
        <v>29</v>
      </c>
      <c r="B154" s="10" t="s">
        <v>11</v>
      </c>
      <c r="C154" s="10" t="s">
        <v>27</v>
      </c>
      <c r="D154" s="19">
        <v>862.19</v>
      </c>
      <c r="E154" s="11">
        <v>18</v>
      </c>
      <c r="F154" s="12">
        <v>0.05</v>
      </c>
      <c r="G154" s="13">
        <v>45663</v>
      </c>
      <c r="H154" s="22">
        <v>286.68</v>
      </c>
      <c r="K154" s="9">
        <f t="shared" si="4"/>
        <v>260.37370351458492</v>
      </c>
    </row>
    <row r="155" spans="1:11" x14ac:dyDescent="0.3">
      <c r="A155" s="2" t="s">
        <v>59</v>
      </c>
      <c r="B155" s="2" t="s">
        <v>24</v>
      </c>
      <c r="C155" s="2" t="s">
        <v>15</v>
      </c>
      <c r="D155" s="20">
        <v>1171.18</v>
      </c>
      <c r="E155" s="6">
        <v>19</v>
      </c>
      <c r="F155" s="8">
        <v>0.05</v>
      </c>
      <c r="G155" s="7">
        <v>45667</v>
      </c>
      <c r="H155" s="23">
        <v>556.30999999999995</v>
      </c>
      <c r="K155" s="9">
        <f t="shared" si="4"/>
        <v>304.29385611685035</v>
      </c>
    </row>
    <row r="156" spans="1:11" x14ac:dyDescent="0.3">
      <c r="A156" s="10" t="s">
        <v>14</v>
      </c>
      <c r="B156" s="10" t="s">
        <v>20</v>
      </c>
      <c r="C156" s="10" t="s">
        <v>27</v>
      </c>
      <c r="D156" s="19">
        <v>1054.56</v>
      </c>
      <c r="E156" s="11">
        <v>11</v>
      </c>
      <c r="F156" s="12">
        <v>0.1</v>
      </c>
      <c r="G156" s="13">
        <v>45669</v>
      </c>
      <c r="H156" s="22">
        <v>332.19</v>
      </c>
      <c r="K156" s="9">
        <f t="shared" si="4"/>
        <v>301.47297397176158</v>
      </c>
    </row>
    <row r="157" spans="1:11" x14ac:dyDescent="0.3">
      <c r="A157" s="2" t="s">
        <v>23</v>
      </c>
      <c r="B157" s="2" t="s">
        <v>24</v>
      </c>
      <c r="C157" s="2" t="s">
        <v>21</v>
      </c>
      <c r="D157" s="20">
        <v>1681.21</v>
      </c>
      <c r="E157" s="6">
        <v>5</v>
      </c>
      <c r="F157" s="8">
        <v>0.2</v>
      </c>
      <c r="G157" s="7">
        <v>45670</v>
      </c>
      <c r="H157" s="23">
        <v>336.24</v>
      </c>
      <c r="K157" s="9">
        <f t="shared" si="4"/>
        <v>409.8839657641725</v>
      </c>
    </row>
    <row r="158" spans="1:11" x14ac:dyDescent="0.3">
      <c r="A158" s="10" t="s">
        <v>36</v>
      </c>
      <c r="B158" s="10" t="s">
        <v>11</v>
      </c>
      <c r="C158" s="10" t="s">
        <v>15</v>
      </c>
      <c r="D158" s="19">
        <v>379.77</v>
      </c>
      <c r="E158" s="11">
        <v>9</v>
      </c>
      <c r="F158" s="12">
        <v>0.05</v>
      </c>
      <c r="G158" s="13">
        <v>45673</v>
      </c>
      <c r="H158" s="22">
        <v>180.39</v>
      </c>
      <c r="K158" s="9">
        <f t="shared" si="4"/>
        <v>368.96714042085728</v>
      </c>
    </row>
    <row r="159" spans="1:11" x14ac:dyDescent="0.3">
      <c r="A159" s="2" t="s">
        <v>45</v>
      </c>
      <c r="B159" s="2" t="s">
        <v>34</v>
      </c>
      <c r="C159" s="2" t="s">
        <v>15</v>
      </c>
      <c r="D159" s="20">
        <v>1076.33</v>
      </c>
      <c r="E159" s="6">
        <v>2</v>
      </c>
      <c r="F159" s="8">
        <v>0.1</v>
      </c>
      <c r="G159" s="7">
        <v>45674</v>
      </c>
      <c r="H159" s="23">
        <v>484.35</v>
      </c>
      <c r="K159" s="9">
        <f t="shared" si="4"/>
        <v>588.83104542333081</v>
      </c>
    </row>
    <row r="160" spans="1:11" x14ac:dyDescent="0.3">
      <c r="A160" s="10" t="s">
        <v>31</v>
      </c>
      <c r="B160" s="10" t="s">
        <v>34</v>
      </c>
      <c r="C160" s="10" t="s">
        <v>39</v>
      </c>
      <c r="D160" s="19">
        <v>1250.71</v>
      </c>
      <c r="E160" s="11">
        <v>7</v>
      </c>
      <c r="F160" s="12">
        <v>0</v>
      </c>
      <c r="G160" s="13">
        <v>45674</v>
      </c>
      <c r="H160" s="22">
        <v>562.82000000000005</v>
      </c>
      <c r="K160" s="9">
        <f t="shared" si="4"/>
        <v>132.21302814667058</v>
      </c>
    </row>
    <row r="161" spans="1:11" x14ac:dyDescent="0.3">
      <c r="A161" s="2" t="s">
        <v>17</v>
      </c>
      <c r="B161" s="2" t="s">
        <v>20</v>
      </c>
      <c r="C161" s="2" t="s">
        <v>15</v>
      </c>
      <c r="D161" s="20">
        <v>1118.3399999999999</v>
      </c>
      <c r="E161" s="6">
        <v>6</v>
      </c>
      <c r="F161" s="8">
        <v>0.2</v>
      </c>
      <c r="G161" s="7">
        <v>45674</v>
      </c>
      <c r="H161" s="23">
        <v>447.34</v>
      </c>
      <c r="K161" s="9">
        <f t="shared" si="4"/>
        <v>376.60527528386507</v>
      </c>
    </row>
    <row r="162" spans="1:11" x14ac:dyDescent="0.3">
      <c r="A162" s="10" t="s">
        <v>53</v>
      </c>
      <c r="B162" s="10" t="s">
        <v>24</v>
      </c>
      <c r="C162" s="10" t="s">
        <v>15</v>
      </c>
      <c r="D162" s="19">
        <v>1622.62</v>
      </c>
      <c r="E162" s="11">
        <v>12</v>
      </c>
      <c r="F162" s="12">
        <v>0.2</v>
      </c>
      <c r="G162" s="13">
        <v>45677</v>
      </c>
      <c r="H162" s="22">
        <v>649.04999999999995</v>
      </c>
      <c r="K162" s="9">
        <f t="shared" si="4"/>
        <v>437.78754250533058</v>
      </c>
    </row>
    <row r="163" spans="1:11" x14ac:dyDescent="0.3">
      <c r="A163" s="2" t="s">
        <v>48</v>
      </c>
      <c r="B163" s="2" t="s">
        <v>24</v>
      </c>
      <c r="C163" s="2" t="s">
        <v>12</v>
      </c>
      <c r="D163" s="20">
        <v>640.64</v>
      </c>
      <c r="E163" s="6">
        <v>11</v>
      </c>
      <c r="F163" s="8">
        <v>0.2</v>
      </c>
      <c r="G163" s="7">
        <v>45678</v>
      </c>
      <c r="H163" s="23">
        <v>205</v>
      </c>
      <c r="K163" s="9">
        <f t="shared" si="4"/>
        <v>391.34473534794216</v>
      </c>
    </row>
    <row r="164" spans="1:11" x14ac:dyDescent="0.3">
      <c r="A164" s="10" t="s">
        <v>43</v>
      </c>
      <c r="B164" s="10" t="s">
        <v>11</v>
      </c>
      <c r="C164" s="10" t="s">
        <v>15</v>
      </c>
      <c r="D164" s="19">
        <v>585.16</v>
      </c>
      <c r="E164" s="11">
        <v>17</v>
      </c>
      <c r="F164" s="12">
        <v>0.1</v>
      </c>
      <c r="G164" s="13">
        <v>45684</v>
      </c>
      <c r="H164" s="22">
        <v>263.32</v>
      </c>
      <c r="K164" s="9">
        <f t="shared" ref="K164:K195" si="5">$J$4*D162+$J$6</f>
        <v>568.27439307497855</v>
      </c>
    </row>
    <row r="165" spans="1:11" x14ac:dyDescent="0.3">
      <c r="A165" s="2" t="s">
        <v>31</v>
      </c>
      <c r="B165" s="2" t="s">
        <v>18</v>
      </c>
      <c r="C165" s="2" t="s">
        <v>15</v>
      </c>
      <c r="D165" s="20">
        <v>1109.98</v>
      </c>
      <c r="E165" s="6">
        <v>5</v>
      </c>
      <c r="F165" s="8">
        <v>0.2</v>
      </c>
      <c r="G165" s="7">
        <v>45690</v>
      </c>
      <c r="H165" s="23">
        <v>443.99</v>
      </c>
      <c r="K165" s="9">
        <f t="shared" si="5"/>
        <v>223.74082978713218</v>
      </c>
    </row>
    <row r="166" spans="1:11" x14ac:dyDescent="0.3">
      <c r="A166" s="10" t="s">
        <v>45</v>
      </c>
      <c r="B166" s="10" t="s">
        <v>18</v>
      </c>
      <c r="C166" s="10" t="s">
        <v>12</v>
      </c>
      <c r="D166" s="19">
        <v>1098.08</v>
      </c>
      <c r="E166" s="11">
        <v>9</v>
      </c>
      <c r="F166" s="12">
        <v>0.1</v>
      </c>
      <c r="G166" s="13">
        <v>45692</v>
      </c>
      <c r="H166" s="22">
        <v>395.31</v>
      </c>
      <c r="K166" s="9">
        <f t="shared" si="5"/>
        <v>204.27533956206679</v>
      </c>
    </row>
    <row r="167" spans="1:11" x14ac:dyDescent="0.3">
      <c r="A167" s="2" t="s">
        <v>48</v>
      </c>
      <c r="B167" s="2" t="s">
        <v>11</v>
      </c>
      <c r="C167" s="2" t="s">
        <v>39</v>
      </c>
      <c r="D167" s="20">
        <v>827.25</v>
      </c>
      <c r="E167" s="6">
        <v>7</v>
      </c>
      <c r="F167" s="8">
        <v>0.1</v>
      </c>
      <c r="G167" s="7">
        <v>45693</v>
      </c>
      <c r="H167" s="23">
        <v>335.04</v>
      </c>
      <c r="K167" s="9">
        <f t="shared" si="5"/>
        <v>388.41157928663097</v>
      </c>
    </row>
    <row r="168" spans="1:11" x14ac:dyDescent="0.3">
      <c r="A168" s="10" t="s">
        <v>29</v>
      </c>
      <c r="B168" s="10" t="s">
        <v>34</v>
      </c>
      <c r="C168" s="10" t="s">
        <v>15</v>
      </c>
      <c r="D168" s="19">
        <v>741.88</v>
      </c>
      <c r="E168" s="11">
        <v>16</v>
      </c>
      <c r="F168" s="12">
        <v>0.1</v>
      </c>
      <c r="G168" s="13">
        <v>45695</v>
      </c>
      <c r="H168" s="22">
        <v>333.85</v>
      </c>
      <c r="K168" s="9">
        <f t="shared" si="5"/>
        <v>384.23639302710899</v>
      </c>
    </row>
    <row r="169" spans="1:11" x14ac:dyDescent="0.3">
      <c r="A169" s="2" t="s">
        <v>10</v>
      </c>
      <c r="B169" s="2" t="s">
        <v>18</v>
      </c>
      <c r="C169" s="2" t="s">
        <v>39</v>
      </c>
      <c r="D169" s="20">
        <v>1311.26</v>
      </c>
      <c r="E169" s="6">
        <v>6</v>
      </c>
      <c r="F169" s="8">
        <v>0.1</v>
      </c>
      <c r="G169" s="7">
        <v>45698</v>
      </c>
      <c r="H169" s="23">
        <v>531.05999999999995</v>
      </c>
      <c r="K169" s="9">
        <f t="shared" si="5"/>
        <v>289.214065744224</v>
      </c>
    </row>
    <row r="170" spans="1:11" x14ac:dyDescent="0.3">
      <c r="A170" s="10" t="s">
        <v>31</v>
      </c>
      <c r="B170" s="10" t="s">
        <v>20</v>
      </c>
      <c r="C170" s="10" t="s">
        <v>39</v>
      </c>
      <c r="D170" s="19">
        <v>573.32000000000005</v>
      </c>
      <c r="E170" s="11">
        <v>19</v>
      </c>
      <c r="F170" s="12">
        <v>0.1</v>
      </c>
      <c r="G170" s="13">
        <v>45703</v>
      </c>
      <c r="H170" s="22">
        <v>232.19</v>
      </c>
      <c r="K170" s="9">
        <f t="shared" si="5"/>
        <v>259.26149003200641</v>
      </c>
    </row>
    <row r="171" spans="1:11" x14ac:dyDescent="0.3">
      <c r="A171" s="2" t="s">
        <v>23</v>
      </c>
      <c r="B171" s="2" t="s">
        <v>11</v>
      </c>
      <c r="C171" s="2" t="s">
        <v>21</v>
      </c>
      <c r="D171" s="20">
        <v>1115.22</v>
      </c>
      <c r="E171" s="6">
        <v>14</v>
      </c>
      <c r="F171" s="8">
        <v>0.2</v>
      </c>
      <c r="G171" s="7">
        <v>45705</v>
      </c>
      <c r="H171" s="23">
        <v>223.04</v>
      </c>
      <c r="K171" s="9">
        <f t="shared" si="5"/>
        <v>459.03187259054522</v>
      </c>
    </row>
    <row r="172" spans="1:11" x14ac:dyDescent="0.3">
      <c r="A172" s="10" t="s">
        <v>45</v>
      </c>
      <c r="B172" s="10" t="s">
        <v>24</v>
      </c>
      <c r="C172" s="10" t="s">
        <v>15</v>
      </c>
      <c r="D172" s="19">
        <v>845.84</v>
      </c>
      <c r="E172" s="11">
        <v>4</v>
      </c>
      <c r="F172" s="12">
        <v>0</v>
      </c>
      <c r="G172" s="13">
        <v>45707</v>
      </c>
      <c r="H172" s="22">
        <v>422.92</v>
      </c>
      <c r="K172" s="9">
        <f t="shared" si="5"/>
        <v>200.12120466183657</v>
      </c>
    </row>
    <row r="173" spans="1:11" x14ac:dyDescent="0.3">
      <c r="A173" s="2" t="s">
        <v>55</v>
      </c>
      <c r="B173" s="2" t="s">
        <v>11</v>
      </c>
      <c r="C173" s="2" t="s">
        <v>21</v>
      </c>
      <c r="D173" s="20">
        <v>1029.8</v>
      </c>
      <c r="E173" s="6">
        <v>3</v>
      </c>
      <c r="F173" s="8">
        <v>0</v>
      </c>
      <c r="G173" s="7">
        <v>45708</v>
      </c>
      <c r="H173" s="23">
        <v>257.45</v>
      </c>
      <c r="K173" s="9">
        <f t="shared" si="5"/>
        <v>390.25006466477345</v>
      </c>
    </row>
    <row r="174" spans="1:11" x14ac:dyDescent="0.3">
      <c r="A174" s="10" t="s">
        <v>31</v>
      </c>
      <c r="B174" s="10" t="s">
        <v>24</v>
      </c>
      <c r="C174" s="10" t="s">
        <v>12</v>
      </c>
      <c r="D174" s="19">
        <v>1189.83</v>
      </c>
      <c r="E174" s="11">
        <v>2</v>
      </c>
      <c r="F174" s="12">
        <v>0.2</v>
      </c>
      <c r="G174" s="13">
        <v>45709</v>
      </c>
      <c r="H174" s="22">
        <v>380.75</v>
      </c>
      <c r="K174" s="9">
        <f t="shared" si="5"/>
        <v>295.73647856477135</v>
      </c>
    </row>
    <row r="175" spans="1:11" x14ac:dyDescent="0.3">
      <c r="A175" s="2" t="s">
        <v>43</v>
      </c>
      <c r="B175" s="2" t="s">
        <v>20</v>
      </c>
      <c r="C175" s="2" t="s">
        <v>12</v>
      </c>
      <c r="D175" s="20">
        <v>704.28</v>
      </c>
      <c r="E175" s="6">
        <v>15</v>
      </c>
      <c r="F175" s="8">
        <v>0.2</v>
      </c>
      <c r="G175" s="7">
        <v>45712</v>
      </c>
      <c r="H175" s="23">
        <v>225.37</v>
      </c>
      <c r="K175" s="9">
        <f t="shared" si="5"/>
        <v>360.27994615314606</v>
      </c>
    </row>
    <row r="176" spans="1:11" x14ac:dyDescent="0.3">
      <c r="A176" s="10" t="s">
        <v>47</v>
      </c>
      <c r="B176" s="10" t="s">
        <v>34</v>
      </c>
      <c r="C176" s="10" t="s">
        <v>39</v>
      </c>
      <c r="D176" s="19">
        <v>1618.22</v>
      </c>
      <c r="E176" s="11">
        <v>12</v>
      </c>
      <c r="F176" s="12">
        <v>0.2</v>
      </c>
      <c r="G176" s="13">
        <v>45712</v>
      </c>
      <c r="H176" s="22">
        <v>582.55999999999995</v>
      </c>
      <c r="K176" s="9">
        <f t="shared" si="5"/>
        <v>416.42742994401146</v>
      </c>
    </row>
    <row r="177" spans="1:11" x14ac:dyDescent="0.3">
      <c r="A177" s="2" t="s">
        <v>53</v>
      </c>
      <c r="B177" s="2" t="s">
        <v>34</v>
      </c>
      <c r="C177" s="2" t="s">
        <v>12</v>
      </c>
      <c r="D177" s="20">
        <v>1014.43</v>
      </c>
      <c r="E177" s="6">
        <v>2</v>
      </c>
      <c r="F177" s="8">
        <v>0.15</v>
      </c>
      <c r="G177" s="7">
        <v>45713</v>
      </c>
      <c r="H177" s="23">
        <v>344.91</v>
      </c>
      <c r="K177" s="9">
        <f t="shared" si="5"/>
        <v>246.06930487586976</v>
      </c>
    </row>
    <row r="178" spans="1:11" x14ac:dyDescent="0.3">
      <c r="A178" s="10" t="s">
        <v>31</v>
      </c>
      <c r="B178" s="10" t="s">
        <v>34</v>
      </c>
      <c r="C178" s="10" t="s">
        <v>15</v>
      </c>
      <c r="D178" s="19">
        <v>826.97</v>
      </c>
      <c r="E178" s="11">
        <v>18</v>
      </c>
      <c r="F178" s="12">
        <v>0.2</v>
      </c>
      <c r="G178" s="13">
        <v>45715</v>
      </c>
      <c r="H178" s="22">
        <v>330.79</v>
      </c>
      <c r="K178" s="9">
        <f t="shared" si="5"/>
        <v>566.73062672692004</v>
      </c>
    </row>
    <row r="179" spans="1:11" x14ac:dyDescent="0.3">
      <c r="A179" s="2" t="s">
        <v>31</v>
      </c>
      <c r="B179" s="2" t="s">
        <v>34</v>
      </c>
      <c r="C179" s="2" t="s">
        <v>15</v>
      </c>
      <c r="D179" s="20">
        <v>1022.23</v>
      </c>
      <c r="E179" s="6">
        <v>8</v>
      </c>
      <c r="F179" s="8">
        <v>0.1</v>
      </c>
      <c r="G179" s="7">
        <v>45717</v>
      </c>
      <c r="H179" s="23">
        <v>460</v>
      </c>
      <c r="K179" s="9">
        <f t="shared" si="5"/>
        <v>354.88728961458702</v>
      </c>
    </row>
    <row r="180" spans="1:11" x14ac:dyDescent="0.3">
      <c r="A180" s="10" t="s">
        <v>29</v>
      </c>
      <c r="B180" s="10" t="s">
        <v>18</v>
      </c>
      <c r="C180" s="10" t="s">
        <v>12</v>
      </c>
      <c r="D180" s="19">
        <v>1099.69</v>
      </c>
      <c r="E180" s="11">
        <v>6</v>
      </c>
      <c r="F180" s="12">
        <v>0</v>
      </c>
      <c r="G180" s="13">
        <v>45718</v>
      </c>
      <c r="H180" s="22">
        <v>439.88</v>
      </c>
      <c r="K180" s="9">
        <f t="shared" si="5"/>
        <v>289.11582606752938</v>
      </c>
    </row>
    <row r="181" spans="1:11" x14ac:dyDescent="0.3">
      <c r="A181" s="2" t="s">
        <v>64</v>
      </c>
      <c r="B181" s="2" t="s">
        <v>24</v>
      </c>
      <c r="C181" s="2" t="s">
        <v>12</v>
      </c>
      <c r="D181" s="20">
        <v>710.52</v>
      </c>
      <c r="E181" s="6">
        <v>8</v>
      </c>
      <c r="F181" s="8">
        <v>0.1</v>
      </c>
      <c r="G181" s="7">
        <v>45721</v>
      </c>
      <c r="H181" s="23">
        <v>255.79</v>
      </c>
      <c r="K181" s="9">
        <f t="shared" si="5"/>
        <v>357.62396632250898</v>
      </c>
    </row>
    <row r="182" spans="1:11" x14ac:dyDescent="0.3">
      <c r="A182" s="10" t="s">
        <v>59</v>
      </c>
      <c r="B182" s="10" t="s">
        <v>24</v>
      </c>
      <c r="C182" s="10" t="s">
        <v>12</v>
      </c>
      <c r="D182" s="19">
        <v>499.18</v>
      </c>
      <c r="E182" s="11">
        <v>15</v>
      </c>
      <c r="F182" s="12">
        <v>0.2</v>
      </c>
      <c r="G182" s="13">
        <v>45724</v>
      </c>
      <c r="H182" s="22">
        <v>159.74</v>
      </c>
      <c r="K182" s="9">
        <f t="shared" si="5"/>
        <v>384.8012711681032</v>
      </c>
    </row>
    <row r="183" spans="1:11" x14ac:dyDescent="0.3">
      <c r="A183" s="2" t="s">
        <v>38</v>
      </c>
      <c r="B183" s="2" t="s">
        <v>20</v>
      </c>
      <c r="C183" s="2" t="s">
        <v>12</v>
      </c>
      <c r="D183" s="20">
        <v>1064.19</v>
      </c>
      <c r="E183" s="6">
        <v>18</v>
      </c>
      <c r="F183" s="8">
        <v>0.05</v>
      </c>
      <c r="G183" s="7">
        <v>45725</v>
      </c>
      <c r="H183" s="23">
        <v>404.39</v>
      </c>
      <c r="K183" s="9">
        <f t="shared" si="5"/>
        <v>248.25864624220733</v>
      </c>
    </row>
    <row r="184" spans="1:11" x14ac:dyDescent="0.3">
      <c r="A184" s="10" t="s">
        <v>38</v>
      </c>
      <c r="B184" s="10" t="s">
        <v>18</v>
      </c>
      <c r="C184" s="10" t="s">
        <v>39</v>
      </c>
      <c r="D184" s="19">
        <v>438.76</v>
      </c>
      <c r="E184" s="11">
        <v>18</v>
      </c>
      <c r="F184" s="12">
        <v>0.05</v>
      </c>
      <c r="G184" s="13">
        <v>45726</v>
      </c>
      <c r="H184" s="22">
        <v>187.57</v>
      </c>
      <c r="K184" s="9">
        <f t="shared" si="5"/>
        <v>174.10874169705016</v>
      </c>
    </row>
    <row r="185" spans="1:11" x14ac:dyDescent="0.3">
      <c r="A185" s="2" t="s">
        <v>55</v>
      </c>
      <c r="B185" s="2" t="s">
        <v>11</v>
      </c>
      <c r="C185" s="2" t="s">
        <v>15</v>
      </c>
      <c r="D185" s="20">
        <v>864.98</v>
      </c>
      <c r="E185" s="6">
        <v>2</v>
      </c>
      <c r="F185" s="8">
        <v>0.05</v>
      </c>
      <c r="G185" s="7">
        <v>45727</v>
      </c>
      <c r="H185" s="23">
        <v>410.87</v>
      </c>
      <c r="K185" s="9">
        <f t="shared" si="5"/>
        <v>372.34588358717633</v>
      </c>
    </row>
    <row r="186" spans="1:11" x14ac:dyDescent="0.3">
      <c r="A186" s="10" t="s">
        <v>55</v>
      </c>
      <c r="B186" s="10" t="s">
        <v>11</v>
      </c>
      <c r="C186" s="10" t="s">
        <v>27</v>
      </c>
      <c r="D186" s="19">
        <v>984.93</v>
      </c>
      <c r="E186" s="11">
        <v>14</v>
      </c>
      <c r="F186" s="12">
        <v>0.2</v>
      </c>
      <c r="G186" s="13">
        <v>45733</v>
      </c>
      <c r="H186" s="22">
        <v>275.77999999999997</v>
      </c>
      <c r="K186" s="9">
        <f t="shared" si="5"/>
        <v>152.91002289030087</v>
      </c>
    </row>
    <row r="187" spans="1:11" x14ac:dyDescent="0.3">
      <c r="A187" s="2" t="s">
        <v>55</v>
      </c>
      <c r="B187" s="2" t="s">
        <v>11</v>
      </c>
      <c r="C187" s="2" t="s">
        <v>15</v>
      </c>
      <c r="D187" s="20">
        <v>1493.49</v>
      </c>
      <c r="E187" s="6">
        <v>18</v>
      </c>
      <c r="F187" s="8">
        <v>0</v>
      </c>
      <c r="G187" s="7">
        <v>45734</v>
      </c>
      <c r="H187" s="23">
        <v>746.74</v>
      </c>
      <c r="K187" s="9">
        <f t="shared" si="5"/>
        <v>302.45186217882599</v>
      </c>
    </row>
    <row r="188" spans="1:11" x14ac:dyDescent="0.3">
      <c r="A188" s="10" t="s">
        <v>53</v>
      </c>
      <c r="B188" s="10" t="s">
        <v>20</v>
      </c>
      <c r="C188" s="10" t="s">
        <v>15</v>
      </c>
      <c r="D188" s="19">
        <v>689.43</v>
      </c>
      <c r="E188" s="11">
        <v>9</v>
      </c>
      <c r="F188" s="12">
        <v>0.1</v>
      </c>
      <c r="G188" s="13">
        <v>45736</v>
      </c>
      <c r="H188" s="22">
        <v>310.24</v>
      </c>
      <c r="K188" s="9">
        <f t="shared" si="5"/>
        <v>344.53703796283088</v>
      </c>
    </row>
    <row r="189" spans="1:11" x14ac:dyDescent="0.3">
      <c r="A189" s="2" t="s">
        <v>59</v>
      </c>
      <c r="B189" s="2" t="s">
        <v>20</v>
      </c>
      <c r="C189" s="2" t="s">
        <v>15</v>
      </c>
      <c r="D189" s="20">
        <v>682.24</v>
      </c>
      <c r="E189" s="6">
        <v>1</v>
      </c>
      <c r="F189" s="8">
        <v>0</v>
      </c>
      <c r="G189" s="7">
        <v>45738</v>
      </c>
      <c r="H189" s="23">
        <v>341.12</v>
      </c>
      <c r="K189" s="9">
        <f t="shared" si="5"/>
        <v>522.96835931934243</v>
      </c>
    </row>
    <row r="190" spans="1:11" x14ac:dyDescent="0.3">
      <c r="A190" s="10" t="s">
        <v>26</v>
      </c>
      <c r="B190" s="10" t="s">
        <v>24</v>
      </c>
      <c r="C190" s="10" t="s">
        <v>21</v>
      </c>
      <c r="D190" s="19">
        <v>458.54</v>
      </c>
      <c r="E190" s="11">
        <v>15</v>
      </c>
      <c r="F190" s="12">
        <v>0.2</v>
      </c>
      <c r="G190" s="13">
        <v>45741</v>
      </c>
      <c r="H190" s="22">
        <v>91.71</v>
      </c>
      <c r="K190" s="9">
        <f t="shared" si="5"/>
        <v>240.85909345117219</v>
      </c>
    </row>
    <row r="191" spans="1:11" x14ac:dyDescent="0.3">
      <c r="A191" s="2" t="s">
        <v>26</v>
      </c>
      <c r="B191" s="2" t="s">
        <v>20</v>
      </c>
      <c r="C191" s="2" t="s">
        <v>27</v>
      </c>
      <c r="D191" s="20">
        <v>1184.25</v>
      </c>
      <c r="E191" s="6">
        <v>11</v>
      </c>
      <c r="F191" s="8">
        <v>0.2</v>
      </c>
      <c r="G191" s="7">
        <v>45742</v>
      </c>
      <c r="H191" s="23">
        <v>331.59</v>
      </c>
      <c r="K191" s="9">
        <f t="shared" si="5"/>
        <v>238.33643889604929</v>
      </c>
    </row>
    <row r="192" spans="1:11" x14ac:dyDescent="0.3">
      <c r="A192" s="10" t="s">
        <v>10</v>
      </c>
      <c r="B192" s="10" t="s">
        <v>20</v>
      </c>
      <c r="C192" s="10" t="s">
        <v>15</v>
      </c>
      <c r="D192" s="19">
        <v>762.14</v>
      </c>
      <c r="E192" s="11">
        <v>9</v>
      </c>
      <c r="F192" s="12">
        <v>0</v>
      </c>
      <c r="G192" s="13">
        <v>45743</v>
      </c>
      <c r="H192" s="22">
        <v>381.07</v>
      </c>
      <c r="K192" s="9">
        <f t="shared" si="5"/>
        <v>159.84995433680038</v>
      </c>
    </row>
    <row r="193" spans="1:11" x14ac:dyDescent="0.3">
      <c r="A193" s="2" t="s">
        <v>53</v>
      </c>
      <c r="B193" s="2" t="s">
        <v>24</v>
      </c>
      <c r="C193" s="2" t="s">
        <v>12</v>
      </c>
      <c r="D193" s="20">
        <v>750.71</v>
      </c>
      <c r="E193" s="6">
        <v>10</v>
      </c>
      <c r="F193" s="8">
        <v>0.15</v>
      </c>
      <c r="G193" s="7">
        <v>45743</v>
      </c>
      <c r="H193" s="23">
        <v>255.24</v>
      </c>
      <c r="K193" s="9">
        <f t="shared" si="5"/>
        <v>414.46965352988269</v>
      </c>
    </row>
    <row r="194" spans="1:11" x14ac:dyDescent="0.3">
      <c r="A194" s="10" t="s">
        <v>71</v>
      </c>
      <c r="B194" s="10" t="s">
        <v>34</v>
      </c>
      <c r="C194" s="10" t="s">
        <v>15</v>
      </c>
      <c r="D194" s="19">
        <v>1456.94</v>
      </c>
      <c r="E194" s="11">
        <v>14</v>
      </c>
      <c r="F194" s="12">
        <v>0.05</v>
      </c>
      <c r="G194" s="13">
        <v>45745</v>
      </c>
      <c r="H194" s="22">
        <v>692.05</v>
      </c>
      <c r="K194" s="9">
        <f t="shared" si="5"/>
        <v>266.36983235283958</v>
      </c>
    </row>
    <row r="195" spans="1:11" x14ac:dyDescent="0.3">
      <c r="A195" s="2" t="s">
        <v>61</v>
      </c>
      <c r="B195" s="2" t="s">
        <v>18</v>
      </c>
      <c r="C195" s="2" t="s">
        <v>27</v>
      </c>
      <c r="D195" s="20">
        <v>1093.3800000000001</v>
      </c>
      <c r="E195" s="6">
        <v>17</v>
      </c>
      <c r="F195" s="8">
        <v>0.1</v>
      </c>
      <c r="G195" s="7">
        <v>45745</v>
      </c>
      <c r="H195" s="23">
        <v>344.41</v>
      </c>
      <c r="K195" s="9">
        <f t="shared" si="5"/>
        <v>262.35954840776935</v>
      </c>
    </row>
    <row r="196" spans="1:11" x14ac:dyDescent="0.3">
      <c r="A196" s="10" t="s">
        <v>43</v>
      </c>
      <c r="B196" s="10" t="s">
        <v>11</v>
      </c>
      <c r="C196" s="10" t="s">
        <v>15</v>
      </c>
      <c r="D196" s="19">
        <v>934.27</v>
      </c>
      <c r="E196" s="11">
        <v>8</v>
      </c>
      <c r="F196" s="12">
        <v>0.15</v>
      </c>
      <c r="G196" s="13">
        <v>45746</v>
      </c>
      <c r="H196" s="22">
        <v>397.06</v>
      </c>
      <c r="K196" s="9">
        <f t="shared" ref="K196:K203" si="6">$J$4*D194+$J$6</f>
        <v>510.1445729508107</v>
      </c>
    </row>
    <row r="197" spans="1:11" x14ac:dyDescent="0.3">
      <c r="A197" s="2" t="s">
        <v>36</v>
      </c>
      <c r="B197" s="2" t="s">
        <v>34</v>
      </c>
      <c r="C197" s="2" t="s">
        <v>15</v>
      </c>
      <c r="D197" s="20">
        <v>1465.35</v>
      </c>
      <c r="E197" s="6">
        <v>8</v>
      </c>
      <c r="F197" s="8">
        <v>0.2</v>
      </c>
      <c r="G197" s="7">
        <v>45746</v>
      </c>
      <c r="H197" s="23">
        <v>586.14</v>
      </c>
      <c r="K197" s="9">
        <f t="shared" si="6"/>
        <v>382.58736988259199</v>
      </c>
    </row>
    <row r="198" spans="1:11" x14ac:dyDescent="0.3">
      <c r="A198" s="10" t="s">
        <v>14</v>
      </c>
      <c r="B198" s="10" t="s">
        <v>20</v>
      </c>
      <c r="C198" s="10" t="s">
        <v>39</v>
      </c>
      <c r="D198" s="19">
        <v>740.8</v>
      </c>
      <c r="E198" s="11">
        <v>3</v>
      </c>
      <c r="F198" s="12">
        <v>0</v>
      </c>
      <c r="G198" s="13">
        <v>45749</v>
      </c>
      <c r="H198" s="22">
        <v>333.36</v>
      </c>
      <c r="K198" s="9">
        <f t="shared" si="6"/>
        <v>326.76267360086598</v>
      </c>
    </row>
    <row r="199" spans="1:11" x14ac:dyDescent="0.3">
      <c r="A199" s="2" t="s">
        <v>43</v>
      </c>
      <c r="B199" s="2" t="s">
        <v>11</v>
      </c>
      <c r="C199" s="2" t="s">
        <v>39</v>
      </c>
      <c r="D199" s="20">
        <v>545.44000000000005</v>
      </c>
      <c r="E199" s="6">
        <v>17</v>
      </c>
      <c r="F199" s="8">
        <v>0</v>
      </c>
      <c r="G199" s="7">
        <v>45752</v>
      </c>
      <c r="H199" s="23">
        <v>245.45</v>
      </c>
      <c r="K199" s="9">
        <f t="shared" si="6"/>
        <v>513.09527181153157</v>
      </c>
    </row>
    <row r="200" spans="1:11" x14ac:dyDescent="0.3">
      <c r="A200" s="10" t="s">
        <v>36</v>
      </c>
      <c r="B200" s="10" t="s">
        <v>18</v>
      </c>
      <c r="C200" s="10" t="s">
        <v>12</v>
      </c>
      <c r="D200" s="19">
        <v>997.61</v>
      </c>
      <c r="E200" s="11">
        <v>8</v>
      </c>
      <c r="F200" s="12">
        <v>0.05</v>
      </c>
      <c r="G200" s="13">
        <v>45752</v>
      </c>
      <c r="H200" s="22">
        <v>379.09</v>
      </c>
      <c r="K200" s="9">
        <f t="shared" si="6"/>
        <v>258.88256556475562</v>
      </c>
    </row>
    <row r="201" spans="1:11" ht="15" thickBot="1" x14ac:dyDescent="0.35">
      <c r="A201" s="14" t="s">
        <v>36</v>
      </c>
      <c r="B201" s="14" t="s">
        <v>20</v>
      </c>
      <c r="C201" s="14" t="s">
        <v>15</v>
      </c>
      <c r="D201" s="21">
        <v>928.32</v>
      </c>
      <c r="E201" s="15">
        <v>2</v>
      </c>
      <c r="F201" s="16">
        <v>0.05</v>
      </c>
      <c r="G201" s="17">
        <v>45754</v>
      </c>
      <c r="H201" s="24">
        <v>440.95</v>
      </c>
      <c r="K201" s="9">
        <f t="shared" si="6"/>
        <v>190.33933971095655</v>
      </c>
    </row>
    <row r="202" spans="1:11" x14ac:dyDescent="0.3">
      <c r="K202" s="9">
        <f t="shared" si="6"/>
        <v>348.98589189314504</v>
      </c>
    </row>
    <row r="203" spans="1:11" x14ac:dyDescent="0.3">
      <c r="K203" s="9">
        <f t="shared" si="6"/>
        <v>324.67508047110505</v>
      </c>
    </row>
    <row r="204" spans="1:11" x14ac:dyDescent="0.3">
      <c r="K204" s="9"/>
    </row>
  </sheetData>
  <autoFilter ref="A1:H1" xr:uid="{F4B41EC2-4DB3-42B8-B041-13C196F4FCAE}"/>
  <mergeCells count="1">
    <mergeCell ref="J1:K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725963-6D14-46D4-B623-AD4631F20E50}">
  <dimension ref="A1:J201"/>
  <sheetViews>
    <sheetView topLeftCell="A183" zoomScale="136" zoomScaleNormal="100" workbookViewId="0">
      <selection sqref="A1:H201"/>
    </sheetView>
  </sheetViews>
  <sheetFormatPr defaultRowHeight="14.4" x14ac:dyDescent="0.3"/>
  <cols>
    <col min="1" max="1" width="15.6640625" bestFit="1" customWidth="1"/>
    <col min="2" max="2" width="6.88671875" bestFit="1" customWidth="1"/>
    <col min="3" max="3" width="16.33203125" bestFit="1" customWidth="1"/>
    <col min="4" max="4" width="6.5546875" bestFit="1" customWidth="1"/>
    <col min="5" max="6" width="8.33203125" bestFit="1" customWidth="1"/>
    <col min="7" max="7" width="10.88671875" bestFit="1" customWidth="1"/>
    <col min="8" max="8" width="5.6640625" bestFit="1" customWidth="1"/>
    <col min="9" max="9" width="5.6640625" customWidth="1"/>
    <col min="10" max="10" width="18.88671875" bestFit="1" customWidth="1"/>
    <col min="11" max="11" width="13.33203125" customWidth="1"/>
  </cols>
  <sheetData>
    <row r="1" spans="1:10" x14ac:dyDescent="0.3">
      <c r="A1" s="18" t="s">
        <v>1</v>
      </c>
      <c r="B1" s="18" t="s">
        <v>2</v>
      </c>
      <c r="C1" s="18" t="s">
        <v>3</v>
      </c>
      <c r="D1" s="18" t="s">
        <v>4</v>
      </c>
      <c r="E1" s="18" t="s">
        <v>5</v>
      </c>
      <c r="F1" s="18" t="s">
        <v>6</v>
      </c>
      <c r="G1" s="18" t="s">
        <v>7</v>
      </c>
      <c r="H1" s="18" t="s">
        <v>8</v>
      </c>
      <c r="J1" s="28" t="s">
        <v>88</v>
      </c>
    </row>
    <row r="2" spans="1:10" x14ac:dyDescent="0.3">
      <c r="A2" s="10" t="s">
        <v>10</v>
      </c>
      <c r="B2" s="10" t="s">
        <v>11</v>
      </c>
      <c r="C2" s="10" t="s">
        <v>12</v>
      </c>
      <c r="D2" s="19">
        <v>1036.0899999999999</v>
      </c>
      <c r="E2" s="11">
        <v>4</v>
      </c>
      <c r="F2" s="12">
        <v>0.2</v>
      </c>
      <c r="G2" s="13">
        <v>45392</v>
      </c>
      <c r="H2" s="22">
        <v>331.55</v>
      </c>
      <c r="J2">
        <v>207.21799999999999</v>
      </c>
    </row>
    <row r="3" spans="1:10" x14ac:dyDescent="0.3">
      <c r="A3" s="2" t="s">
        <v>14</v>
      </c>
      <c r="B3" s="2" t="s">
        <v>11</v>
      </c>
      <c r="C3" s="2" t="s">
        <v>15</v>
      </c>
      <c r="D3" s="20">
        <v>1101.28</v>
      </c>
      <c r="E3" s="6">
        <v>3</v>
      </c>
      <c r="F3" s="8">
        <v>0.2</v>
      </c>
      <c r="G3" s="7">
        <v>45393</v>
      </c>
      <c r="H3" s="23">
        <v>440.51</v>
      </c>
      <c r="J3">
        <v>386.03039999999999</v>
      </c>
    </row>
    <row r="4" spans="1:10" x14ac:dyDescent="0.3">
      <c r="A4" s="10" t="s">
        <v>17</v>
      </c>
      <c r="B4" s="10" t="s">
        <v>18</v>
      </c>
      <c r="C4" s="10" t="s">
        <v>12</v>
      </c>
      <c r="D4" s="19">
        <v>713.34</v>
      </c>
      <c r="E4" s="11">
        <v>17</v>
      </c>
      <c r="F4" s="12">
        <v>0</v>
      </c>
      <c r="G4" s="13">
        <v>45396</v>
      </c>
      <c r="H4" s="22">
        <v>285.33999999999997</v>
      </c>
      <c r="J4">
        <v>451.49232000000001</v>
      </c>
    </row>
    <row r="5" spans="1:10" x14ac:dyDescent="0.3">
      <c r="A5" s="2" t="s">
        <v>14</v>
      </c>
      <c r="B5" s="2" t="s">
        <v>20</v>
      </c>
      <c r="C5" s="2" t="s">
        <v>21</v>
      </c>
      <c r="D5" s="20">
        <v>760.93</v>
      </c>
      <c r="E5" s="6">
        <v>4</v>
      </c>
      <c r="F5" s="8">
        <v>0.15</v>
      </c>
      <c r="G5" s="7">
        <v>45396</v>
      </c>
      <c r="H5" s="23">
        <v>161.69999999999999</v>
      </c>
      <c r="J5">
        <v>513.37985600000002</v>
      </c>
    </row>
    <row r="6" spans="1:10" x14ac:dyDescent="0.3">
      <c r="A6" s="10" t="s">
        <v>23</v>
      </c>
      <c r="B6" s="10" t="s">
        <v>24</v>
      </c>
      <c r="C6" s="10" t="s">
        <v>12</v>
      </c>
      <c r="D6" s="19">
        <v>847</v>
      </c>
      <c r="E6" s="11">
        <v>12</v>
      </c>
      <c r="F6" s="12">
        <v>0.2</v>
      </c>
      <c r="G6" s="13">
        <v>45397</v>
      </c>
      <c r="H6" s="22">
        <v>271.04000000000002</v>
      </c>
      <c r="J6">
        <v>580.10388480000006</v>
      </c>
    </row>
    <row r="7" spans="1:10" x14ac:dyDescent="0.3">
      <c r="A7" s="2" t="s">
        <v>26</v>
      </c>
      <c r="B7" s="2" t="s">
        <v>24</v>
      </c>
      <c r="C7" s="2" t="s">
        <v>27</v>
      </c>
      <c r="D7" s="20">
        <v>965.64</v>
      </c>
      <c r="E7" s="6">
        <v>8</v>
      </c>
      <c r="F7" s="8">
        <v>0.1</v>
      </c>
      <c r="G7" s="7">
        <v>45398</v>
      </c>
      <c r="H7" s="23">
        <v>304.18</v>
      </c>
      <c r="J7">
        <v>657.21110784000007</v>
      </c>
    </row>
    <row r="8" spans="1:10" x14ac:dyDescent="0.3">
      <c r="A8" s="10" t="s">
        <v>29</v>
      </c>
      <c r="B8" s="10" t="s">
        <v>11</v>
      </c>
      <c r="C8" s="10" t="s">
        <v>21</v>
      </c>
      <c r="D8" s="19">
        <v>1317.53</v>
      </c>
      <c r="E8" s="11">
        <v>12</v>
      </c>
      <c r="F8" s="12">
        <v>0.05</v>
      </c>
      <c r="G8" s="13">
        <v>45398</v>
      </c>
      <c r="H8" s="22">
        <v>312.91000000000003</v>
      </c>
      <c r="J8">
        <v>789.274886272</v>
      </c>
    </row>
    <row r="9" spans="1:10" x14ac:dyDescent="0.3">
      <c r="A9" s="2" t="s">
        <v>31</v>
      </c>
      <c r="B9" s="2" t="s">
        <v>18</v>
      </c>
      <c r="C9" s="2" t="s">
        <v>27</v>
      </c>
      <c r="D9" s="20">
        <v>1074.47</v>
      </c>
      <c r="E9" s="6">
        <v>6</v>
      </c>
      <c r="F9" s="8">
        <v>0.2</v>
      </c>
      <c r="G9" s="7">
        <v>45401</v>
      </c>
      <c r="H9" s="23">
        <v>300.85000000000002</v>
      </c>
      <c r="J9">
        <v>846.31390901760005</v>
      </c>
    </row>
    <row r="10" spans="1:10" x14ac:dyDescent="0.3">
      <c r="A10" s="10" t="s">
        <v>33</v>
      </c>
      <c r="B10" s="10" t="s">
        <v>34</v>
      </c>
      <c r="C10" s="10" t="s">
        <v>12</v>
      </c>
      <c r="D10" s="19">
        <v>501.54</v>
      </c>
      <c r="E10" s="11">
        <v>11</v>
      </c>
      <c r="F10" s="12">
        <v>0.05</v>
      </c>
      <c r="G10" s="13">
        <v>45401</v>
      </c>
      <c r="H10" s="22">
        <v>190.59</v>
      </c>
      <c r="J10">
        <v>777.3591272140801</v>
      </c>
    </row>
    <row r="11" spans="1:10" x14ac:dyDescent="0.3">
      <c r="A11" s="2" t="s">
        <v>36</v>
      </c>
      <c r="B11" s="2" t="s">
        <v>34</v>
      </c>
      <c r="C11" s="2" t="s">
        <v>15</v>
      </c>
      <c r="D11" s="20">
        <v>737.31</v>
      </c>
      <c r="E11" s="6">
        <v>2</v>
      </c>
      <c r="F11" s="8">
        <v>0.05</v>
      </c>
      <c r="G11" s="7">
        <v>45401</v>
      </c>
      <c r="H11" s="23">
        <v>350.22</v>
      </c>
      <c r="J11">
        <v>769.34930177126409</v>
      </c>
    </row>
    <row r="12" spans="1:10" x14ac:dyDescent="0.3">
      <c r="A12" s="10" t="s">
        <v>38</v>
      </c>
      <c r="B12" s="10" t="s">
        <v>11</v>
      </c>
      <c r="C12" s="10" t="s">
        <v>39</v>
      </c>
      <c r="D12" s="19">
        <v>1572.82</v>
      </c>
      <c r="E12" s="11">
        <v>6</v>
      </c>
      <c r="F12" s="12">
        <v>0.05</v>
      </c>
      <c r="G12" s="13">
        <v>45402</v>
      </c>
      <c r="H12" s="22">
        <v>672.38</v>
      </c>
      <c r="J12">
        <v>930.04344141701131</v>
      </c>
    </row>
    <row r="13" spans="1:10" x14ac:dyDescent="0.3">
      <c r="A13" s="2" t="s">
        <v>36</v>
      </c>
      <c r="B13" s="2" t="s">
        <v>34</v>
      </c>
      <c r="C13" s="2" t="s">
        <v>12</v>
      </c>
      <c r="D13" s="20">
        <v>1343.13</v>
      </c>
      <c r="E13" s="6">
        <v>14</v>
      </c>
      <c r="F13" s="8">
        <v>0.15</v>
      </c>
      <c r="G13" s="7">
        <v>45404</v>
      </c>
      <c r="H13" s="23">
        <v>456.66</v>
      </c>
      <c r="J13">
        <v>1012.6607531336092</v>
      </c>
    </row>
    <row r="14" spans="1:10" x14ac:dyDescent="0.3">
      <c r="A14" s="10" t="s">
        <v>26</v>
      </c>
      <c r="B14" s="10" t="s">
        <v>34</v>
      </c>
      <c r="C14" s="10" t="s">
        <v>12</v>
      </c>
      <c r="D14" s="19">
        <v>1191.58</v>
      </c>
      <c r="E14" s="11">
        <v>14</v>
      </c>
      <c r="F14" s="12">
        <v>0.05</v>
      </c>
      <c r="G14" s="13">
        <v>45406</v>
      </c>
      <c r="H14" s="22">
        <v>452.8</v>
      </c>
      <c r="J14">
        <v>1048.4446025068873</v>
      </c>
    </row>
    <row r="15" spans="1:10" x14ac:dyDescent="0.3">
      <c r="A15" s="2" t="s">
        <v>14</v>
      </c>
      <c r="B15" s="2" t="s">
        <v>11</v>
      </c>
      <c r="C15" s="2" t="s">
        <v>27</v>
      </c>
      <c r="D15" s="20">
        <v>822.28</v>
      </c>
      <c r="E15" s="6">
        <v>7</v>
      </c>
      <c r="F15" s="8">
        <v>0.05</v>
      </c>
      <c r="G15" s="7">
        <v>45406</v>
      </c>
      <c r="H15" s="23">
        <v>273.41000000000003</v>
      </c>
      <c r="J15">
        <v>1003.2116820055099</v>
      </c>
    </row>
    <row r="16" spans="1:10" x14ac:dyDescent="0.3">
      <c r="A16" s="10" t="s">
        <v>42</v>
      </c>
      <c r="B16" s="10" t="s">
        <v>24</v>
      </c>
      <c r="C16" s="10" t="s">
        <v>27</v>
      </c>
      <c r="D16" s="19">
        <v>521.66999999999996</v>
      </c>
      <c r="E16" s="11">
        <v>15</v>
      </c>
      <c r="F16" s="12">
        <v>0.15</v>
      </c>
      <c r="G16" s="13">
        <v>45409</v>
      </c>
      <c r="H16" s="22">
        <v>155.19999999999999</v>
      </c>
      <c r="J16">
        <v>906.90334560440806</v>
      </c>
    </row>
    <row r="17" spans="1:10" x14ac:dyDescent="0.3">
      <c r="A17" s="2" t="s">
        <v>43</v>
      </c>
      <c r="B17" s="2" t="s">
        <v>20</v>
      </c>
      <c r="C17" s="2" t="s">
        <v>21</v>
      </c>
      <c r="D17" s="20">
        <v>1502.93</v>
      </c>
      <c r="E17" s="6">
        <v>14</v>
      </c>
      <c r="F17" s="8">
        <v>0.2</v>
      </c>
      <c r="G17" s="7">
        <v>45410</v>
      </c>
      <c r="H17" s="23">
        <v>300.58999999999997</v>
      </c>
      <c r="J17">
        <v>1026.1086764835266</v>
      </c>
    </row>
    <row r="18" spans="1:10" x14ac:dyDescent="0.3">
      <c r="A18" s="10" t="s">
        <v>14</v>
      </c>
      <c r="B18" s="10" t="s">
        <v>20</v>
      </c>
      <c r="C18" s="10" t="s">
        <v>12</v>
      </c>
      <c r="D18" s="19">
        <v>877.58</v>
      </c>
      <c r="E18" s="11">
        <v>10</v>
      </c>
      <c r="F18" s="12">
        <v>0.15</v>
      </c>
      <c r="G18" s="13">
        <v>45411</v>
      </c>
      <c r="H18" s="22">
        <v>298.38</v>
      </c>
      <c r="J18">
        <v>996.40294118682141</v>
      </c>
    </row>
    <row r="19" spans="1:10" x14ac:dyDescent="0.3">
      <c r="A19" s="2" t="s">
        <v>45</v>
      </c>
      <c r="B19" s="2" t="s">
        <v>11</v>
      </c>
      <c r="C19" s="2" t="s">
        <v>12</v>
      </c>
      <c r="D19" s="20">
        <v>636.70000000000005</v>
      </c>
      <c r="E19" s="6">
        <v>4</v>
      </c>
      <c r="F19" s="8">
        <v>0.2</v>
      </c>
      <c r="G19" s="7">
        <v>45411</v>
      </c>
      <c r="H19" s="23">
        <v>203.74</v>
      </c>
      <c r="J19">
        <v>924.46235294945723</v>
      </c>
    </row>
    <row r="20" spans="1:10" x14ac:dyDescent="0.3">
      <c r="A20" s="10" t="s">
        <v>47</v>
      </c>
      <c r="B20" s="10" t="s">
        <v>11</v>
      </c>
      <c r="C20" s="10" t="s">
        <v>12</v>
      </c>
      <c r="D20" s="19">
        <v>1506.14</v>
      </c>
      <c r="E20" s="11">
        <v>13</v>
      </c>
      <c r="F20" s="12">
        <v>0.2</v>
      </c>
      <c r="G20" s="13">
        <v>45412</v>
      </c>
      <c r="H20" s="22">
        <v>481.96</v>
      </c>
      <c r="J20">
        <v>1040.7978823595658</v>
      </c>
    </row>
    <row r="21" spans="1:10" x14ac:dyDescent="0.3">
      <c r="A21" s="2" t="s">
        <v>31</v>
      </c>
      <c r="B21" s="2" t="s">
        <v>34</v>
      </c>
      <c r="C21" s="2" t="s">
        <v>21</v>
      </c>
      <c r="D21" s="20">
        <v>645.02</v>
      </c>
      <c r="E21" s="6">
        <v>4</v>
      </c>
      <c r="F21" s="8">
        <v>0</v>
      </c>
      <c r="G21" s="7">
        <v>45414</v>
      </c>
      <c r="H21" s="23">
        <v>161.26</v>
      </c>
      <c r="J21">
        <v>961.6423058876527</v>
      </c>
    </row>
    <row r="22" spans="1:10" x14ac:dyDescent="0.3">
      <c r="A22" s="10" t="s">
        <v>48</v>
      </c>
      <c r="B22" s="10" t="s">
        <v>20</v>
      </c>
      <c r="C22" s="10" t="s">
        <v>15</v>
      </c>
      <c r="D22" s="19">
        <v>953.3</v>
      </c>
      <c r="E22" s="11">
        <v>11</v>
      </c>
      <c r="F22" s="12">
        <v>0</v>
      </c>
      <c r="G22" s="13">
        <v>45415</v>
      </c>
      <c r="H22" s="22">
        <v>476.65</v>
      </c>
      <c r="J22">
        <v>959.97384471012219</v>
      </c>
    </row>
    <row r="23" spans="1:10" x14ac:dyDescent="0.3">
      <c r="A23" s="2" t="s">
        <v>14</v>
      </c>
      <c r="B23" s="2" t="s">
        <v>24</v>
      </c>
      <c r="C23" s="2" t="s">
        <v>21</v>
      </c>
      <c r="D23" s="20">
        <v>388.56</v>
      </c>
      <c r="E23" s="6">
        <v>14</v>
      </c>
      <c r="F23" s="8">
        <v>0.15</v>
      </c>
      <c r="G23" s="7">
        <v>45416</v>
      </c>
      <c r="H23" s="23">
        <v>82.57</v>
      </c>
      <c r="J23">
        <v>845.69107576809779</v>
      </c>
    </row>
    <row r="24" spans="1:10" x14ac:dyDescent="0.3">
      <c r="A24" s="10" t="s">
        <v>31</v>
      </c>
      <c r="B24" s="10" t="s">
        <v>11</v>
      </c>
      <c r="C24" s="10" t="s">
        <v>12</v>
      </c>
      <c r="D24" s="19">
        <v>743.17</v>
      </c>
      <c r="E24" s="11">
        <v>9</v>
      </c>
      <c r="F24" s="12">
        <v>0</v>
      </c>
      <c r="G24" s="13">
        <v>45416</v>
      </c>
      <c r="H24" s="22">
        <v>297.27</v>
      </c>
      <c r="J24">
        <v>825.18686061447829</v>
      </c>
    </row>
    <row r="25" spans="1:10" x14ac:dyDescent="0.3">
      <c r="A25" s="2" t="s">
        <v>31</v>
      </c>
      <c r="B25" s="2" t="s">
        <v>34</v>
      </c>
      <c r="C25" s="2" t="s">
        <v>21</v>
      </c>
      <c r="D25" s="20">
        <v>706.37</v>
      </c>
      <c r="E25" s="6">
        <v>6</v>
      </c>
      <c r="F25" s="8">
        <v>0</v>
      </c>
      <c r="G25" s="7">
        <v>45416</v>
      </c>
      <c r="H25" s="23">
        <v>176.59</v>
      </c>
      <c r="J25">
        <v>801.4234884915827</v>
      </c>
    </row>
    <row r="26" spans="1:10" x14ac:dyDescent="0.3">
      <c r="A26" s="10" t="s">
        <v>31</v>
      </c>
      <c r="B26" s="10" t="s">
        <v>34</v>
      </c>
      <c r="C26" s="10" t="s">
        <v>39</v>
      </c>
      <c r="D26" s="19">
        <v>925.31</v>
      </c>
      <c r="E26" s="11">
        <v>8</v>
      </c>
      <c r="F26" s="12">
        <v>0.1</v>
      </c>
      <c r="G26" s="13">
        <v>45418</v>
      </c>
      <c r="H26" s="22">
        <v>374.75</v>
      </c>
      <c r="J26">
        <v>826.20079079326626</v>
      </c>
    </row>
    <row r="27" spans="1:10" x14ac:dyDescent="0.3">
      <c r="A27" s="2" t="s">
        <v>50</v>
      </c>
      <c r="B27" s="2" t="s">
        <v>20</v>
      </c>
      <c r="C27" s="2" t="s">
        <v>21</v>
      </c>
      <c r="D27" s="20">
        <v>1173.1199999999999</v>
      </c>
      <c r="E27" s="6">
        <v>18</v>
      </c>
      <c r="F27" s="8">
        <v>0</v>
      </c>
      <c r="G27" s="7">
        <v>45418</v>
      </c>
      <c r="H27" s="23">
        <v>293.27999999999997</v>
      </c>
      <c r="J27">
        <v>895.58463263461306</v>
      </c>
    </row>
    <row r="28" spans="1:10" x14ac:dyDescent="0.3">
      <c r="A28" s="10" t="s">
        <v>51</v>
      </c>
      <c r="B28" s="10" t="s">
        <v>24</v>
      </c>
      <c r="C28" s="10" t="s">
        <v>27</v>
      </c>
      <c r="D28" s="19">
        <v>675.54</v>
      </c>
      <c r="E28" s="11">
        <v>17</v>
      </c>
      <c r="F28" s="12">
        <v>0</v>
      </c>
      <c r="G28" s="13">
        <v>45420</v>
      </c>
      <c r="H28" s="22">
        <v>236.44</v>
      </c>
      <c r="J28">
        <v>851.57570610769039</v>
      </c>
    </row>
    <row r="29" spans="1:10" x14ac:dyDescent="0.3">
      <c r="A29" s="2" t="s">
        <v>14</v>
      </c>
      <c r="B29" s="2" t="s">
        <v>34</v>
      </c>
      <c r="C29" s="2" t="s">
        <v>12</v>
      </c>
      <c r="D29" s="20">
        <v>939.09</v>
      </c>
      <c r="E29" s="6">
        <v>2</v>
      </c>
      <c r="F29" s="8">
        <v>0.05</v>
      </c>
      <c r="G29" s="7">
        <v>45422</v>
      </c>
      <c r="H29" s="23">
        <v>356.85</v>
      </c>
      <c r="J29">
        <v>869.07856488615232</v>
      </c>
    </row>
    <row r="30" spans="1:10" x14ac:dyDescent="0.3">
      <c r="A30" s="10" t="s">
        <v>53</v>
      </c>
      <c r="B30" s="10" t="s">
        <v>18</v>
      </c>
      <c r="C30" s="10" t="s">
        <v>39</v>
      </c>
      <c r="D30" s="19">
        <v>983.34</v>
      </c>
      <c r="E30" s="11">
        <v>19</v>
      </c>
      <c r="F30" s="12">
        <v>0.1</v>
      </c>
      <c r="G30" s="13">
        <v>45426</v>
      </c>
      <c r="H30" s="22">
        <v>398.25</v>
      </c>
      <c r="J30">
        <v>891.93085190892191</v>
      </c>
    </row>
    <row r="31" spans="1:10" x14ac:dyDescent="0.3">
      <c r="A31" s="2" t="s">
        <v>23</v>
      </c>
      <c r="B31" s="2" t="s">
        <v>20</v>
      </c>
      <c r="C31" s="2" t="s">
        <v>21</v>
      </c>
      <c r="D31" s="20">
        <v>801.21</v>
      </c>
      <c r="E31" s="6">
        <v>3</v>
      </c>
      <c r="F31" s="8">
        <v>0.2</v>
      </c>
      <c r="G31" s="7">
        <v>45426</v>
      </c>
      <c r="H31" s="23">
        <v>160.24</v>
      </c>
      <c r="J31">
        <v>873.78668152713749</v>
      </c>
    </row>
    <row r="32" spans="1:10" x14ac:dyDescent="0.3">
      <c r="A32" s="10" t="s">
        <v>55</v>
      </c>
      <c r="B32" s="10" t="s">
        <v>24</v>
      </c>
      <c r="C32" s="10" t="s">
        <v>21</v>
      </c>
      <c r="D32" s="19">
        <v>1450.71</v>
      </c>
      <c r="E32" s="11">
        <v>5</v>
      </c>
      <c r="F32" s="12">
        <v>0.1</v>
      </c>
      <c r="G32" s="13">
        <v>45427</v>
      </c>
      <c r="H32" s="22">
        <v>326.41000000000003</v>
      </c>
      <c r="J32">
        <v>989.17134522171</v>
      </c>
    </row>
    <row r="33" spans="1:10" x14ac:dyDescent="0.3">
      <c r="A33" s="2" t="s">
        <v>56</v>
      </c>
      <c r="B33" s="2" t="s">
        <v>34</v>
      </c>
      <c r="C33" s="2" t="s">
        <v>12</v>
      </c>
      <c r="D33" s="20">
        <v>1023.21</v>
      </c>
      <c r="E33" s="6">
        <v>18</v>
      </c>
      <c r="F33" s="8">
        <v>0.05</v>
      </c>
      <c r="G33" s="7">
        <v>45428</v>
      </c>
      <c r="H33" s="23">
        <v>388.82</v>
      </c>
      <c r="J33">
        <v>995.97907617736814</v>
      </c>
    </row>
    <row r="34" spans="1:10" x14ac:dyDescent="0.3">
      <c r="A34" s="10" t="s">
        <v>47</v>
      </c>
      <c r="B34" s="10" t="s">
        <v>11</v>
      </c>
      <c r="C34" s="10" t="s">
        <v>27</v>
      </c>
      <c r="D34" s="19">
        <v>853.72</v>
      </c>
      <c r="E34" s="11">
        <v>5</v>
      </c>
      <c r="F34" s="12">
        <v>0.15</v>
      </c>
      <c r="G34" s="13">
        <v>45428</v>
      </c>
      <c r="H34" s="22">
        <v>253.98</v>
      </c>
      <c r="J34">
        <v>967.52726094189461</v>
      </c>
    </row>
    <row r="35" spans="1:10" x14ac:dyDescent="0.3">
      <c r="A35" s="2" t="s">
        <v>43</v>
      </c>
      <c r="B35" s="2" t="s">
        <v>20</v>
      </c>
      <c r="C35" s="2" t="s">
        <v>21</v>
      </c>
      <c r="D35" s="20">
        <v>967.89</v>
      </c>
      <c r="E35" s="6">
        <v>10</v>
      </c>
      <c r="F35" s="8">
        <v>0.1</v>
      </c>
      <c r="G35" s="7">
        <v>45429</v>
      </c>
      <c r="H35" s="23">
        <v>217.78</v>
      </c>
      <c r="J35">
        <v>967.59980875351573</v>
      </c>
    </row>
    <row r="36" spans="1:10" x14ac:dyDescent="0.3">
      <c r="A36" s="10" t="s">
        <v>53</v>
      </c>
      <c r="B36" s="10" t="s">
        <v>24</v>
      </c>
      <c r="C36" s="10" t="s">
        <v>39</v>
      </c>
      <c r="D36" s="19">
        <v>1200.9000000000001</v>
      </c>
      <c r="E36" s="11">
        <v>14</v>
      </c>
      <c r="F36" s="12">
        <v>0.05</v>
      </c>
      <c r="G36" s="13">
        <v>45429</v>
      </c>
      <c r="H36" s="22">
        <v>513.38</v>
      </c>
      <c r="J36">
        <v>1014.2598470028126</v>
      </c>
    </row>
    <row r="37" spans="1:10" x14ac:dyDescent="0.3">
      <c r="A37" s="2" t="s">
        <v>26</v>
      </c>
      <c r="B37" s="2" t="s">
        <v>11</v>
      </c>
      <c r="C37" s="2" t="s">
        <v>12</v>
      </c>
      <c r="D37" s="20">
        <v>472.38</v>
      </c>
      <c r="E37" s="6">
        <v>12</v>
      </c>
      <c r="F37" s="8">
        <v>0.2</v>
      </c>
      <c r="G37" s="7">
        <v>45429</v>
      </c>
      <c r="H37" s="23">
        <v>151.16</v>
      </c>
      <c r="J37">
        <v>905.88387760225021</v>
      </c>
    </row>
    <row r="38" spans="1:10" x14ac:dyDescent="0.3">
      <c r="A38" s="10" t="s">
        <v>55</v>
      </c>
      <c r="B38" s="10" t="s">
        <v>18</v>
      </c>
      <c r="C38" s="10" t="s">
        <v>39</v>
      </c>
      <c r="D38" s="19">
        <v>840.92</v>
      </c>
      <c r="E38" s="11">
        <v>9</v>
      </c>
      <c r="F38" s="12">
        <v>0.05</v>
      </c>
      <c r="G38" s="13">
        <v>45429</v>
      </c>
      <c r="H38" s="22">
        <v>359.49</v>
      </c>
      <c r="J38">
        <v>892.89110208180023</v>
      </c>
    </row>
    <row r="39" spans="1:10" x14ac:dyDescent="0.3">
      <c r="A39" s="2" t="s">
        <v>48</v>
      </c>
      <c r="B39" s="2" t="s">
        <v>34</v>
      </c>
      <c r="C39" s="2" t="s">
        <v>27</v>
      </c>
      <c r="D39" s="20">
        <v>1410.06</v>
      </c>
      <c r="E39" s="6">
        <v>11</v>
      </c>
      <c r="F39" s="8">
        <v>0.05</v>
      </c>
      <c r="G39" s="7">
        <v>45434</v>
      </c>
      <c r="H39" s="23">
        <v>468.84</v>
      </c>
      <c r="J39">
        <v>996.32488166544022</v>
      </c>
    </row>
    <row r="40" spans="1:10" x14ac:dyDescent="0.3">
      <c r="A40" s="10" t="s">
        <v>59</v>
      </c>
      <c r="B40" s="10" t="s">
        <v>34</v>
      </c>
      <c r="C40" s="10" t="s">
        <v>27</v>
      </c>
      <c r="D40" s="19">
        <v>773.09</v>
      </c>
      <c r="E40" s="11">
        <v>13</v>
      </c>
      <c r="F40" s="12">
        <v>0.15</v>
      </c>
      <c r="G40" s="13">
        <v>45434</v>
      </c>
      <c r="H40" s="22">
        <v>229.99</v>
      </c>
      <c r="J40">
        <v>951.67790533235222</v>
      </c>
    </row>
    <row r="41" spans="1:10" x14ac:dyDescent="0.3">
      <c r="A41" s="2" t="s">
        <v>61</v>
      </c>
      <c r="B41" s="2" t="s">
        <v>18</v>
      </c>
      <c r="C41" s="2" t="s">
        <v>12</v>
      </c>
      <c r="D41" s="20">
        <v>580.42999999999995</v>
      </c>
      <c r="E41" s="6">
        <v>19</v>
      </c>
      <c r="F41" s="8">
        <v>0.15</v>
      </c>
      <c r="G41" s="7">
        <v>45435</v>
      </c>
      <c r="H41" s="23">
        <v>197.35</v>
      </c>
      <c r="J41">
        <v>877.42832426588188</v>
      </c>
    </row>
    <row r="42" spans="1:10" x14ac:dyDescent="0.3">
      <c r="A42" s="10" t="s">
        <v>42</v>
      </c>
      <c r="B42" s="10" t="s">
        <v>20</v>
      </c>
      <c r="C42" s="10" t="s">
        <v>12</v>
      </c>
      <c r="D42" s="19">
        <v>1151.21</v>
      </c>
      <c r="E42" s="11">
        <v>15</v>
      </c>
      <c r="F42" s="12">
        <v>0.1</v>
      </c>
      <c r="G42" s="13">
        <v>45445</v>
      </c>
      <c r="H42" s="22">
        <v>414.44</v>
      </c>
      <c r="J42">
        <v>932.18465941270551</v>
      </c>
    </row>
    <row r="43" spans="1:10" x14ac:dyDescent="0.3">
      <c r="A43" s="2" t="s">
        <v>23</v>
      </c>
      <c r="B43" s="2" t="s">
        <v>34</v>
      </c>
      <c r="C43" s="2" t="s">
        <v>39</v>
      </c>
      <c r="D43" s="20">
        <v>1025.98</v>
      </c>
      <c r="E43" s="6">
        <v>5</v>
      </c>
      <c r="F43" s="8">
        <v>0.2</v>
      </c>
      <c r="G43" s="7">
        <v>45447</v>
      </c>
      <c r="H43" s="23">
        <v>369.35</v>
      </c>
      <c r="J43">
        <v>950.94372753016444</v>
      </c>
    </row>
    <row r="44" spans="1:10" x14ac:dyDescent="0.3">
      <c r="A44" s="10" t="s">
        <v>56</v>
      </c>
      <c r="B44" s="10" t="s">
        <v>18</v>
      </c>
      <c r="C44" s="10" t="s">
        <v>39</v>
      </c>
      <c r="D44" s="19">
        <v>556.41999999999996</v>
      </c>
      <c r="E44" s="11">
        <v>11</v>
      </c>
      <c r="F44" s="12">
        <v>0.15</v>
      </c>
      <c r="G44" s="13">
        <v>45447</v>
      </c>
      <c r="H44" s="22">
        <v>212.83</v>
      </c>
      <c r="J44">
        <v>872.03898202413154</v>
      </c>
    </row>
    <row r="45" spans="1:10" x14ac:dyDescent="0.3">
      <c r="A45" s="2" t="s">
        <v>23</v>
      </c>
      <c r="B45" s="2" t="s">
        <v>34</v>
      </c>
      <c r="C45" s="2" t="s">
        <v>12</v>
      </c>
      <c r="D45" s="20">
        <v>840.85</v>
      </c>
      <c r="E45" s="6">
        <v>19</v>
      </c>
      <c r="F45" s="8">
        <v>0.1</v>
      </c>
      <c r="G45" s="7">
        <v>45448</v>
      </c>
      <c r="H45" s="23">
        <v>302.70999999999998</v>
      </c>
      <c r="J45">
        <v>865.80118561930522</v>
      </c>
    </row>
    <row r="46" spans="1:10" x14ac:dyDescent="0.3">
      <c r="A46" s="10" t="s">
        <v>61</v>
      </c>
      <c r="B46" s="10" t="s">
        <v>24</v>
      </c>
      <c r="C46" s="10" t="s">
        <v>27</v>
      </c>
      <c r="D46" s="19">
        <v>1227.25</v>
      </c>
      <c r="E46" s="11">
        <v>12</v>
      </c>
      <c r="F46" s="12">
        <v>0.15</v>
      </c>
      <c r="G46" s="13">
        <v>45448</v>
      </c>
      <c r="H46" s="22">
        <v>365.11</v>
      </c>
      <c r="J46">
        <v>938.09094849544431</v>
      </c>
    </row>
    <row r="47" spans="1:10" x14ac:dyDescent="0.3">
      <c r="A47" s="2" t="s">
        <v>62</v>
      </c>
      <c r="B47" s="2" t="s">
        <v>34</v>
      </c>
      <c r="C47" s="2" t="s">
        <v>21</v>
      </c>
      <c r="D47" s="20">
        <v>856.7</v>
      </c>
      <c r="E47" s="6">
        <v>2</v>
      </c>
      <c r="F47" s="8">
        <v>0</v>
      </c>
      <c r="G47" s="7">
        <v>45449</v>
      </c>
      <c r="H47" s="23">
        <v>214.18</v>
      </c>
      <c r="J47">
        <v>921.81275879635552</v>
      </c>
    </row>
    <row r="48" spans="1:10" x14ac:dyDescent="0.3">
      <c r="A48" s="10" t="s">
        <v>56</v>
      </c>
      <c r="B48" s="10" t="s">
        <v>34</v>
      </c>
      <c r="C48" s="10" t="s">
        <v>39</v>
      </c>
      <c r="D48" s="19">
        <v>1225.42</v>
      </c>
      <c r="E48" s="11">
        <v>8</v>
      </c>
      <c r="F48" s="12">
        <v>0.15</v>
      </c>
      <c r="G48" s="13">
        <v>45449</v>
      </c>
      <c r="H48" s="22">
        <v>468.72</v>
      </c>
      <c r="J48">
        <v>982.53420703708457</v>
      </c>
    </row>
    <row r="49" spans="1:10" x14ac:dyDescent="0.3">
      <c r="A49" s="2" t="s">
        <v>31</v>
      </c>
      <c r="B49" s="2" t="s">
        <v>24</v>
      </c>
      <c r="C49" s="2" t="s">
        <v>39</v>
      </c>
      <c r="D49" s="20">
        <v>1001.57</v>
      </c>
      <c r="E49" s="6">
        <v>12</v>
      </c>
      <c r="F49" s="8">
        <v>0</v>
      </c>
      <c r="G49" s="7">
        <v>45450</v>
      </c>
      <c r="H49" s="23">
        <v>450.71</v>
      </c>
      <c r="J49">
        <v>986.34136562966773</v>
      </c>
    </row>
    <row r="50" spans="1:10" x14ac:dyDescent="0.3">
      <c r="A50" s="10" t="s">
        <v>26</v>
      </c>
      <c r="B50" s="10" t="s">
        <v>18</v>
      </c>
      <c r="C50" s="10" t="s">
        <v>27</v>
      </c>
      <c r="D50" s="19">
        <v>1186.8499999999999</v>
      </c>
      <c r="E50" s="11">
        <v>19</v>
      </c>
      <c r="F50" s="12">
        <v>0.2</v>
      </c>
      <c r="G50" s="13">
        <v>45451</v>
      </c>
      <c r="H50" s="22">
        <v>332.32</v>
      </c>
      <c r="J50">
        <v>1026.4430925037341</v>
      </c>
    </row>
    <row r="51" spans="1:10" x14ac:dyDescent="0.3">
      <c r="A51" s="2" t="s">
        <v>51</v>
      </c>
      <c r="B51" s="2" t="s">
        <v>20</v>
      </c>
      <c r="C51" s="2" t="s">
        <v>21</v>
      </c>
      <c r="D51" s="20">
        <v>775.45</v>
      </c>
      <c r="E51" s="6">
        <v>6</v>
      </c>
      <c r="F51" s="8">
        <v>0.1</v>
      </c>
      <c r="G51" s="7">
        <v>45457</v>
      </c>
      <c r="H51" s="23">
        <v>174.48</v>
      </c>
      <c r="J51">
        <v>976.24447400298732</v>
      </c>
    </row>
    <row r="52" spans="1:10" x14ac:dyDescent="0.3">
      <c r="A52" s="10" t="s">
        <v>33</v>
      </c>
      <c r="B52" s="10" t="s">
        <v>20</v>
      </c>
      <c r="C52" s="10" t="s">
        <v>21</v>
      </c>
      <c r="D52" s="19">
        <v>1021.47</v>
      </c>
      <c r="E52" s="11">
        <v>6</v>
      </c>
      <c r="F52" s="12">
        <v>0.05</v>
      </c>
      <c r="G52" s="13">
        <v>45461</v>
      </c>
      <c r="H52" s="22">
        <v>242.6</v>
      </c>
      <c r="J52">
        <v>985.28957920238986</v>
      </c>
    </row>
    <row r="53" spans="1:10" x14ac:dyDescent="0.3">
      <c r="A53" s="2" t="s">
        <v>23</v>
      </c>
      <c r="B53" s="2" t="s">
        <v>20</v>
      </c>
      <c r="C53" s="2" t="s">
        <v>15</v>
      </c>
      <c r="D53" s="20">
        <v>1226.6199999999999</v>
      </c>
      <c r="E53" s="6">
        <v>7</v>
      </c>
      <c r="F53" s="8">
        <v>0.1</v>
      </c>
      <c r="G53" s="7">
        <v>45463</v>
      </c>
      <c r="H53" s="23">
        <v>551.98</v>
      </c>
      <c r="J53">
        <v>1033.5556633619119</v>
      </c>
    </row>
    <row r="54" spans="1:10" x14ac:dyDescent="0.3">
      <c r="A54" s="10" t="s">
        <v>64</v>
      </c>
      <c r="B54" s="10" t="s">
        <v>20</v>
      </c>
      <c r="C54" s="10" t="s">
        <v>27</v>
      </c>
      <c r="D54" s="19">
        <v>1086.93</v>
      </c>
      <c r="E54" s="11">
        <v>2</v>
      </c>
      <c r="F54" s="12">
        <v>0</v>
      </c>
      <c r="G54" s="13">
        <v>45464</v>
      </c>
      <c r="H54" s="22">
        <v>380.43</v>
      </c>
      <c r="J54">
        <v>1044.2305306895296</v>
      </c>
    </row>
    <row r="55" spans="1:10" x14ac:dyDescent="0.3">
      <c r="A55" s="2" t="s">
        <v>48</v>
      </c>
      <c r="B55" s="2" t="s">
        <v>11</v>
      </c>
      <c r="C55" s="2" t="s">
        <v>12</v>
      </c>
      <c r="D55" s="20">
        <v>942.9</v>
      </c>
      <c r="E55" s="6">
        <v>18</v>
      </c>
      <c r="F55" s="8">
        <v>0.1</v>
      </c>
      <c r="G55" s="7">
        <v>45466</v>
      </c>
      <c r="H55" s="23">
        <v>339.44</v>
      </c>
      <c r="J55">
        <v>1023.9644245516238</v>
      </c>
    </row>
    <row r="56" spans="1:10" x14ac:dyDescent="0.3">
      <c r="A56" s="10" t="s">
        <v>38</v>
      </c>
      <c r="B56" s="10" t="s">
        <v>24</v>
      </c>
      <c r="C56" s="10" t="s">
        <v>21</v>
      </c>
      <c r="D56" s="19">
        <v>818.8</v>
      </c>
      <c r="E56" s="11">
        <v>15</v>
      </c>
      <c r="F56" s="12">
        <v>0.15</v>
      </c>
      <c r="G56" s="13">
        <v>45468</v>
      </c>
      <c r="H56" s="22">
        <v>173.99</v>
      </c>
      <c r="J56">
        <v>982.93153964129908</v>
      </c>
    </row>
    <row r="57" spans="1:10" x14ac:dyDescent="0.3">
      <c r="A57" s="2" t="s">
        <v>14</v>
      </c>
      <c r="B57" s="2" t="s">
        <v>20</v>
      </c>
      <c r="C57" s="2" t="s">
        <v>27</v>
      </c>
      <c r="D57" s="20">
        <v>919.04</v>
      </c>
      <c r="E57" s="6">
        <v>10</v>
      </c>
      <c r="F57" s="8">
        <v>0.2</v>
      </c>
      <c r="G57" s="7">
        <v>45468</v>
      </c>
      <c r="H57" s="23">
        <v>257.33</v>
      </c>
      <c r="J57">
        <v>970.1532317130393</v>
      </c>
    </row>
    <row r="58" spans="1:10" x14ac:dyDescent="0.3">
      <c r="A58" s="10" t="s">
        <v>66</v>
      </c>
      <c r="B58" s="10" t="s">
        <v>34</v>
      </c>
      <c r="C58" s="10" t="s">
        <v>12</v>
      </c>
      <c r="D58" s="19">
        <v>973.26</v>
      </c>
      <c r="E58" s="11">
        <v>11</v>
      </c>
      <c r="F58" s="12">
        <v>0</v>
      </c>
      <c r="G58" s="13">
        <v>45470</v>
      </c>
      <c r="H58" s="22">
        <v>389.3</v>
      </c>
      <c r="J58">
        <v>970.77458537043151</v>
      </c>
    </row>
    <row r="59" spans="1:10" x14ac:dyDescent="0.3">
      <c r="A59" s="2" t="s">
        <v>64</v>
      </c>
      <c r="B59" s="2" t="s">
        <v>24</v>
      </c>
      <c r="C59" s="2" t="s">
        <v>21</v>
      </c>
      <c r="D59" s="20">
        <v>741.61</v>
      </c>
      <c r="E59" s="6">
        <v>1</v>
      </c>
      <c r="F59" s="8">
        <v>0.2</v>
      </c>
      <c r="G59" s="7">
        <v>45471</v>
      </c>
      <c r="H59" s="23">
        <v>148.32</v>
      </c>
      <c r="J59">
        <v>924.94166829634526</v>
      </c>
    </row>
    <row r="60" spans="1:10" x14ac:dyDescent="0.3">
      <c r="A60" s="10" t="s">
        <v>38</v>
      </c>
      <c r="B60" s="10" t="s">
        <v>24</v>
      </c>
      <c r="C60" s="10" t="s">
        <v>12</v>
      </c>
      <c r="D60" s="19">
        <v>1248.82</v>
      </c>
      <c r="E60" s="11">
        <v>2</v>
      </c>
      <c r="F60" s="12">
        <v>0.1</v>
      </c>
      <c r="G60" s="13">
        <v>45473</v>
      </c>
      <c r="H60" s="22">
        <v>449.58</v>
      </c>
      <c r="J60">
        <v>989.71733463707631</v>
      </c>
    </row>
    <row r="61" spans="1:10" x14ac:dyDescent="0.3">
      <c r="A61" s="2" t="s">
        <v>59</v>
      </c>
      <c r="B61" s="2" t="s">
        <v>11</v>
      </c>
      <c r="C61" s="2" t="s">
        <v>15</v>
      </c>
      <c r="D61" s="20">
        <v>1360.36</v>
      </c>
      <c r="E61" s="6">
        <v>17</v>
      </c>
      <c r="F61" s="8">
        <v>0</v>
      </c>
      <c r="G61" s="7">
        <v>45473</v>
      </c>
      <c r="H61" s="23">
        <v>680.18</v>
      </c>
      <c r="J61">
        <v>1063.845867709661</v>
      </c>
    </row>
    <row r="62" spans="1:10" x14ac:dyDescent="0.3">
      <c r="A62" s="10" t="s">
        <v>31</v>
      </c>
      <c r="B62" s="10" t="s">
        <v>18</v>
      </c>
      <c r="C62" s="10" t="s">
        <v>12</v>
      </c>
      <c r="D62" s="19">
        <v>1383.3</v>
      </c>
      <c r="E62" s="11">
        <v>8</v>
      </c>
      <c r="F62" s="12">
        <v>0.1</v>
      </c>
      <c r="G62" s="13">
        <v>45478</v>
      </c>
      <c r="H62" s="22">
        <v>497.99</v>
      </c>
      <c r="J62">
        <v>1127.736694167729</v>
      </c>
    </row>
    <row r="63" spans="1:10" x14ac:dyDescent="0.3">
      <c r="A63" s="2" t="s">
        <v>55</v>
      </c>
      <c r="B63" s="2" t="s">
        <v>34</v>
      </c>
      <c r="C63" s="2" t="s">
        <v>39</v>
      </c>
      <c r="D63" s="20">
        <v>488.99</v>
      </c>
      <c r="E63" s="6">
        <v>9</v>
      </c>
      <c r="F63" s="8">
        <v>0</v>
      </c>
      <c r="G63" s="7">
        <v>45479</v>
      </c>
      <c r="H63" s="23">
        <v>220.05</v>
      </c>
      <c r="J63">
        <v>999.98735533418323</v>
      </c>
    </row>
    <row r="64" spans="1:10" x14ac:dyDescent="0.3">
      <c r="A64" s="10" t="s">
        <v>31</v>
      </c>
      <c r="B64" s="10" t="s">
        <v>18</v>
      </c>
      <c r="C64" s="10" t="s">
        <v>27</v>
      </c>
      <c r="D64" s="19">
        <v>933.71</v>
      </c>
      <c r="E64" s="11">
        <v>17</v>
      </c>
      <c r="F64" s="12">
        <v>0.1</v>
      </c>
      <c r="G64" s="13">
        <v>45481</v>
      </c>
      <c r="H64" s="22">
        <v>294.12</v>
      </c>
      <c r="J64">
        <v>986.73188426734669</v>
      </c>
    </row>
    <row r="65" spans="1:10" x14ac:dyDescent="0.3">
      <c r="A65" s="2" t="s">
        <v>10</v>
      </c>
      <c r="B65" s="2" t="s">
        <v>11</v>
      </c>
      <c r="C65" s="2" t="s">
        <v>21</v>
      </c>
      <c r="D65" s="20">
        <v>1005.53</v>
      </c>
      <c r="E65" s="6">
        <v>17</v>
      </c>
      <c r="F65" s="8">
        <v>0.2</v>
      </c>
      <c r="G65" s="7">
        <v>45481</v>
      </c>
      <c r="H65" s="23">
        <v>201.11</v>
      </c>
      <c r="J65">
        <v>990.49150741387734</v>
      </c>
    </row>
    <row r="66" spans="1:10" x14ac:dyDescent="0.3">
      <c r="A66" s="10" t="s">
        <v>61</v>
      </c>
      <c r="B66" s="10" t="s">
        <v>20</v>
      </c>
      <c r="C66" s="10" t="s">
        <v>21</v>
      </c>
      <c r="D66" s="19">
        <v>1100.0999999999999</v>
      </c>
      <c r="E66" s="11">
        <v>5</v>
      </c>
      <c r="F66" s="12">
        <v>0.05</v>
      </c>
      <c r="G66" s="13">
        <v>45482</v>
      </c>
      <c r="H66" s="22">
        <v>261.27</v>
      </c>
      <c r="J66">
        <v>1012.4132059311019</v>
      </c>
    </row>
    <row r="67" spans="1:10" x14ac:dyDescent="0.3">
      <c r="A67" s="2" t="s">
        <v>23</v>
      </c>
      <c r="B67" s="2" t="s">
        <v>24</v>
      </c>
      <c r="C67" s="2" t="s">
        <v>27</v>
      </c>
      <c r="D67" s="20">
        <v>1034.7</v>
      </c>
      <c r="E67" s="6">
        <v>15</v>
      </c>
      <c r="F67" s="8">
        <v>0.15</v>
      </c>
      <c r="G67" s="7">
        <v>45487</v>
      </c>
      <c r="H67" s="23">
        <v>307.82</v>
      </c>
      <c r="J67">
        <v>1016.8705647448816</v>
      </c>
    </row>
    <row r="68" spans="1:10" x14ac:dyDescent="0.3">
      <c r="A68" s="10" t="s">
        <v>31</v>
      </c>
      <c r="B68" s="10" t="s">
        <v>20</v>
      </c>
      <c r="C68" s="10" t="s">
        <v>12</v>
      </c>
      <c r="D68" s="19">
        <v>876.44</v>
      </c>
      <c r="E68" s="11">
        <v>12</v>
      </c>
      <c r="F68" s="12">
        <v>0.05</v>
      </c>
      <c r="G68" s="13">
        <v>45488</v>
      </c>
      <c r="H68" s="22">
        <v>333.05</v>
      </c>
      <c r="J68">
        <v>988.78445179590528</v>
      </c>
    </row>
    <row r="69" spans="1:10" x14ac:dyDescent="0.3">
      <c r="A69" s="2" t="s">
        <v>55</v>
      </c>
      <c r="B69" s="2" t="s">
        <v>11</v>
      </c>
      <c r="C69" s="2" t="s">
        <v>27</v>
      </c>
      <c r="D69" s="20">
        <v>1371.34</v>
      </c>
      <c r="E69" s="6">
        <v>5</v>
      </c>
      <c r="F69" s="8">
        <v>0.05</v>
      </c>
      <c r="G69" s="7">
        <v>45488</v>
      </c>
      <c r="H69" s="23">
        <v>455.97</v>
      </c>
      <c r="J69">
        <v>1065.2955614367243</v>
      </c>
    </row>
    <row r="70" spans="1:10" x14ac:dyDescent="0.3">
      <c r="A70" s="10" t="s">
        <v>47</v>
      </c>
      <c r="B70" s="10" t="s">
        <v>24</v>
      </c>
      <c r="C70" s="10" t="s">
        <v>21</v>
      </c>
      <c r="D70" s="19">
        <v>1020.26</v>
      </c>
      <c r="E70" s="11">
        <v>11</v>
      </c>
      <c r="F70" s="12">
        <v>0.05</v>
      </c>
      <c r="G70" s="13">
        <v>45494</v>
      </c>
      <c r="H70" s="22">
        <v>242.31</v>
      </c>
      <c r="J70">
        <v>1056.2884491493796</v>
      </c>
    </row>
    <row r="71" spans="1:10" x14ac:dyDescent="0.3">
      <c r="A71" s="2" t="s">
        <v>10</v>
      </c>
      <c r="B71" s="2" t="s">
        <v>34</v>
      </c>
      <c r="C71" s="2" t="s">
        <v>39</v>
      </c>
      <c r="D71" s="20">
        <v>804.81</v>
      </c>
      <c r="E71" s="6">
        <v>1</v>
      </c>
      <c r="F71" s="8">
        <v>0.05</v>
      </c>
      <c r="G71" s="7">
        <v>45502</v>
      </c>
      <c r="H71" s="23">
        <v>344.06</v>
      </c>
      <c r="J71">
        <v>1005.9927593195038</v>
      </c>
    </row>
    <row r="72" spans="1:10" x14ac:dyDescent="0.3">
      <c r="A72" s="10" t="s">
        <v>55</v>
      </c>
      <c r="B72" s="10" t="s">
        <v>34</v>
      </c>
      <c r="C72" s="10" t="s">
        <v>21</v>
      </c>
      <c r="D72" s="19">
        <v>608.66</v>
      </c>
      <c r="E72" s="11">
        <v>1</v>
      </c>
      <c r="F72" s="12">
        <v>0.05</v>
      </c>
      <c r="G72" s="13">
        <v>45503</v>
      </c>
      <c r="H72" s="22">
        <v>144.56</v>
      </c>
      <c r="J72">
        <v>926.52620745560307</v>
      </c>
    </row>
    <row r="73" spans="1:10" x14ac:dyDescent="0.3">
      <c r="A73" s="2" t="s">
        <v>69</v>
      </c>
      <c r="B73" s="2" t="s">
        <v>20</v>
      </c>
      <c r="C73" s="2" t="s">
        <v>39</v>
      </c>
      <c r="D73" s="20">
        <v>981.2</v>
      </c>
      <c r="E73" s="6">
        <v>19</v>
      </c>
      <c r="F73" s="8">
        <v>0</v>
      </c>
      <c r="G73" s="7">
        <v>45504</v>
      </c>
      <c r="H73" s="23">
        <v>441.54</v>
      </c>
      <c r="J73">
        <v>937.46096596448251</v>
      </c>
    </row>
    <row r="74" spans="1:10" x14ac:dyDescent="0.3">
      <c r="A74" s="10" t="s">
        <v>55</v>
      </c>
      <c r="B74" s="10" t="s">
        <v>18</v>
      </c>
      <c r="C74" s="10" t="s">
        <v>21</v>
      </c>
      <c r="D74" s="19">
        <v>539.77</v>
      </c>
      <c r="E74" s="11">
        <v>10</v>
      </c>
      <c r="F74" s="12">
        <v>0.15</v>
      </c>
      <c r="G74" s="13">
        <v>45509</v>
      </c>
      <c r="H74" s="22">
        <v>114.7</v>
      </c>
      <c r="J74">
        <v>857.9227727715861</v>
      </c>
    </row>
    <row r="75" spans="1:10" x14ac:dyDescent="0.3">
      <c r="A75" s="2" t="s">
        <v>71</v>
      </c>
      <c r="B75" s="2" t="s">
        <v>20</v>
      </c>
      <c r="C75" s="2" t="s">
        <v>12</v>
      </c>
      <c r="D75" s="20">
        <v>804.45</v>
      </c>
      <c r="E75" s="6">
        <v>5</v>
      </c>
      <c r="F75" s="8">
        <v>0.2</v>
      </c>
      <c r="G75" s="7">
        <v>45509</v>
      </c>
      <c r="H75" s="23">
        <v>257.42</v>
      </c>
      <c r="J75">
        <v>847.22821821726893</v>
      </c>
    </row>
    <row r="76" spans="1:10" x14ac:dyDescent="0.3">
      <c r="A76" s="10" t="s">
        <v>38</v>
      </c>
      <c r="B76" s="10" t="s">
        <v>11</v>
      </c>
      <c r="C76" s="10" t="s">
        <v>21</v>
      </c>
      <c r="D76" s="19">
        <v>1526.6</v>
      </c>
      <c r="E76" s="11">
        <v>13</v>
      </c>
      <c r="F76" s="12">
        <v>0.2</v>
      </c>
      <c r="G76" s="13">
        <v>45512</v>
      </c>
      <c r="H76" s="22">
        <v>305.32</v>
      </c>
      <c r="J76">
        <v>983.10257457381522</v>
      </c>
    </row>
    <row r="77" spans="1:10" x14ac:dyDescent="0.3">
      <c r="A77" s="2" t="s">
        <v>29</v>
      </c>
      <c r="B77" s="2" t="s">
        <v>11</v>
      </c>
      <c r="C77" s="2" t="s">
        <v>21</v>
      </c>
      <c r="D77" s="20">
        <v>1215.26</v>
      </c>
      <c r="E77" s="6">
        <v>5</v>
      </c>
      <c r="F77" s="8">
        <v>0.15</v>
      </c>
      <c r="G77" s="7">
        <v>45513</v>
      </c>
      <c r="H77" s="23">
        <v>258.24</v>
      </c>
      <c r="J77">
        <v>1029.5340596590522</v>
      </c>
    </row>
    <row r="78" spans="1:10" x14ac:dyDescent="0.3">
      <c r="A78" s="10" t="s">
        <v>53</v>
      </c>
      <c r="B78" s="10" t="s">
        <v>34</v>
      </c>
      <c r="C78" s="10" t="s">
        <v>27</v>
      </c>
      <c r="D78" s="19">
        <v>1261.3399999999999</v>
      </c>
      <c r="E78" s="11">
        <v>3</v>
      </c>
      <c r="F78" s="12">
        <v>0</v>
      </c>
      <c r="G78" s="13">
        <v>45519</v>
      </c>
      <c r="H78" s="22">
        <v>441.47</v>
      </c>
      <c r="J78">
        <v>1075.8952477272419</v>
      </c>
    </row>
    <row r="79" spans="1:10" x14ac:dyDescent="0.3">
      <c r="A79" s="2" t="s">
        <v>45</v>
      </c>
      <c r="B79" s="2" t="s">
        <v>24</v>
      </c>
      <c r="C79" s="2" t="s">
        <v>27</v>
      </c>
      <c r="D79" s="20">
        <v>518.07000000000005</v>
      </c>
      <c r="E79" s="6">
        <v>7</v>
      </c>
      <c r="F79" s="8">
        <v>0.05</v>
      </c>
      <c r="G79" s="7">
        <v>45522</v>
      </c>
      <c r="H79" s="23">
        <v>172.26</v>
      </c>
      <c r="J79">
        <v>964.33019818179355</v>
      </c>
    </row>
    <row r="80" spans="1:10" x14ac:dyDescent="0.3">
      <c r="A80" s="10" t="s">
        <v>29</v>
      </c>
      <c r="B80" s="10" t="s">
        <v>11</v>
      </c>
      <c r="C80" s="10" t="s">
        <v>39</v>
      </c>
      <c r="D80" s="19">
        <v>1111.3399999999999</v>
      </c>
      <c r="E80" s="11">
        <v>1</v>
      </c>
      <c r="F80" s="12">
        <v>0</v>
      </c>
      <c r="G80" s="13">
        <v>45523</v>
      </c>
      <c r="H80" s="22">
        <v>500.1</v>
      </c>
      <c r="J80">
        <v>993.73215854543491</v>
      </c>
    </row>
    <row r="81" spans="1:10" x14ac:dyDescent="0.3">
      <c r="A81" s="2" t="s">
        <v>31</v>
      </c>
      <c r="B81" s="2" t="s">
        <v>18</v>
      </c>
      <c r="C81" s="2" t="s">
        <v>15</v>
      </c>
      <c r="D81" s="20">
        <v>1291.47</v>
      </c>
      <c r="E81" s="6">
        <v>18</v>
      </c>
      <c r="F81" s="8">
        <v>0.1</v>
      </c>
      <c r="G81" s="7">
        <v>45526</v>
      </c>
      <c r="H81" s="23">
        <v>581.16</v>
      </c>
      <c r="J81">
        <v>1053.2797268363481</v>
      </c>
    </row>
    <row r="82" spans="1:10" x14ac:dyDescent="0.3">
      <c r="A82" s="10" t="s">
        <v>55</v>
      </c>
      <c r="B82" s="10" t="s">
        <v>24</v>
      </c>
      <c r="C82" s="10" t="s">
        <v>12</v>
      </c>
      <c r="D82" s="19">
        <v>679.71</v>
      </c>
      <c r="E82" s="11">
        <v>19</v>
      </c>
      <c r="F82" s="12">
        <v>0</v>
      </c>
      <c r="G82" s="13">
        <v>45534</v>
      </c>
      <c r="H82" s="22">
        <v>271.88</v>
      </c>
      <c r="J82">
        <v>978.5657814690785</v>
      </c>
    </row>
    <row r="83" spans="1:10" x14ac:dyDescent="0.3">
      <c r="A83" s="2" t="s">
        <v>33</v>
      </c>
      <c r="B83" s="2" t="s">
        <v>18</v>
      </c>
      <c r="C83" s="2" t="s">
        <v>27</v>
      </c>
      <c r="D83" s="20">
        <v>1143.69</v>
      </c>
      <c r="E83" s="6">
        <v>17</v>
      </c>
      <c r="F83" s="8">
        <v>0</v>
      </c>
      <c r="G83" s="7">
        <v>45534</v>
      </c>
      <c r="H83" s="23">
        <v>400.29</v>
      </c>
      <c r="J83">
        <v>1011.5906251752629</v>
      </c>
    </row>
    <row r="84" spans="1:10" x14ac:dyDescent="0.3">
      <c r="A84" s="10" t="s">
        <v>50</v>
      </c>
      <c r="B84" s="10" t="s">
        <v>34</v>
      </c>
      <c r="C84" s="10" t="s">
        <v>21</v>
      </c>
      <c r="D84" s="19">
        <v>790.08</v>
      </c>
      <c r="E84" s="11">
        <v>7</v>
      </c>
      <c r="F84" s="12">
        <v>0.1</v>
      </c>
      <c r="G84" s="13">
        <v>45536</v>
      </c>
      <c r="H84" s="22">
        <v>177.77</v>
      </c>
      <c r="J84">
        <v>967.28850014021032</v>
      </c>
    </row>
    <row r="85" spans="1:10" x14ac:dyDescent="0.3">
      <c r="A85" s="2" t="s">
        <v>48</v>
      </c>
      <c r="B85" s="2" t="s">
        <v>34</v>
      </c>
      <c r="C85" s="2" t="s">
        <v>12</v>
      </c>
      <c r="D85" s="20">
        <v>1070.68</v>
      </c>
      <c r="E85" s="6">
        <v>7</v>
      </c>
      <c r="F85" s="8">
        <v>0.05</v>
      </c>
      <c r="G85" s="7">
        <v>45536</v>
      </c>
      <c r="H85" s="23">
        <v>406.86</v>
      </c>
      <c r="J85">
        <v>987.96680011216836</v>
      </c>
    </row>
    <row r="86" spans="1:10" x14ac:dyDescent="0.3">
      <c r="A86" s="10" t="s">
        <v>36</v>
      </c>
      <c r="B86" s="10" t="s">
        <v>11</v>
      </c>
      <c r="C86" s="10" t="s">
        <v>15</v>
      </c>
      <c r="D86" s="19">
        <v>1168.8900000000001</v>
      </c>
      <c r="E86" s="11">
        <v>4</v>
      </c>
      <c r="F86" s="12">
        <v>0.1</v>
      </c>
      <c r="G86" s="13">
        <v>45544</v>
      </c>
      <c r="H86" s="22">
        <v>526</v>
      </c>
      <c r="J86">
        <v>1024.1514400897347</v>
      </c>
    </row>
    <row r="87" spans="1:10" x14ac:dyDescent="0.3">
      <c r="A87" s="2" t="s">
        <v>10</v>
      </c>
      <c r="B87" s="2" t="s">
        <v>20</v>
      </c>
      <c r="C87" s="2" t="s">
        <v>21</v>
      </c>
      <c r="D87" s="20">
        <v>1335.87</v>
      </c>
      <c r="E87" s="6">
        <v>17</v>
      </c>
      <c r="F87" s="8">
        <v>0</v>
      </c>
      <c r="G87" s="7">
        <v>45544</v>
      </c>
      <c r="H87" s="23">
        <v>333.97</v>
      </c>
      <c r="J87">
        <v>1086.4951520717877</v>
      </c>
    </row>
    <row r="88" spans="1:10" x14ac:dyDescent="0.3">
      <c r="A88" s="10" t="s">
        <v>55</v>
      </c>
      <c r="B88" s="10" t="s">
        <v>18</v>
      </c>
      <c r="C88" s="10" t="s">
        <v>27</v>
      </c>
      <c r="D88" s="19">
        <v>873.7</v>
      </c>
      <c r="E88" s="11">
        <v>9</v>
      </c>
      <c r="F88" s="12">
        <v>0</v>
      </c>
      <c r="G88" s="13">
        <v>45546</v>
      </c>
      <c r="H88" s="22">
        <v>305.8</v>
      </c>
      <c r="J88">
        <v>1043.9361216574302</v>
      </c>
    </row>
    <row r="89" spans="1:10" x14ac:dyDescent="0.3">
      <c r="A89" s="2" t="s">
        <v>64</v>
      </c>
      <c r="B89" s="2" t="s">
        <v>11</v>
      </c>
      <c r="C89" s="2" t="s">
        <v>39</v>
      </c>
      <c r="D89" s="20">
        <v>1443.98</v>
      </c>
      <c r="E89" s="6">
        <v>19</v>
      </c>
      <c r="F89" s="8">
        <v>0</v>
      </c>
      <c r="G89" s="7">
        <v>45547</v>
      </c>
      <c r="H89" s="23">
        <v>649.79</v>
      </c>
      <c r="J89">
        <v>1123.9448973259443</v>
      </c>
    </row>
    <row r="90" spans="1:10" x14ac:dyDescent="0.3">
      <c r="A90" s="10" t="s">
        <v>23</v>
      </c>
      <c r="B90" s="10" t="s">
        <v>18</v>
      </c>
      <c r="C90" s="10" t="s">
        <v>39</v>
      </c>
      <c r="D90" s="19">
        <v>1154.33</v>
      </c>
      <c r="E90" s="11">
        <v>11</v>
      </c>
      <c r="F90" s="12">
        <v>0.15</v>
      </c>
      <c r="G90" s="13">
        <v>45549</v>
      </c>
      <c r="H90" s="22">
        <v>441.53</v>
      </c>
      <c r="J90">
        <v>1130.0219178607554</v>
      </c>
    </row>
    <row r="91" spans="1:10" x14ac:dyDescent="0.3">
      <c r="A91" s="2" t="s">
        <v>50</v>
      </c>
      <c r="B91" s="2" t="s">
        <v>20</v>
      </c>
      <c r="C91" s="2" t="s">
        <v>12</v>
      </c>
      <c r="D91" s="20">
        <v>1264.49</v>
      </c>
      <c r="E91" s="6">
        <v>16</v>
      </c>
      <c r="F91" s="8">
        <v>0.05</v>
      </c>
      <c r="G91" s="7">
        <v>45549</v>
      </c>
      <c r="H91" s="23">
        <v>480.51</v>
      </c>
      <c r="J91">
        <v>1156.9155342886042</v>
      </c>
    </row>
    <row r="92" spans="1:10" x14ac:dyDescent="0.3">
      <c r="A92" s="10" t="s">
        <v>66</v>
      </c>
      <c r="B92" s="10" t="s">
        <v>11</v>
      </c>
      <c r="C92" s="10" t="s">
        <v>27</v>
      </c>
      <c r="D92" s="19">
        <v>1101.55</v>
      </c>
      <c r="E92" s="11">
        <v>4</v>
      </c>
      <c r="F92" s="12">
        <v>0.1</v>
      </c>
      <c r="G92" s="13">
        <v>45551</v>
      </c>
      <c r="H92" s="22">
        <v>346.99</v>
      </c>
      <c r="J92">
        <v>1145.8424274308834</v>
      </c>
    </row>
    <row r="93" spans="1:10" x14ac:dyDescent="0.3">
      <c r="A93" s="2" t="s">
        <v>14</v>
      </c>
      <c r="B93" s="2" t="s">
        <v>20</v>
      </c>
      <c r="C93" s="2" t="s">
        <v>27</v>
      </c>
      <c r="D93" s="20">
        <v>727.73</v>
      </c>
      <c r="E93" s="6">
        <v>1</v>
      </c>
      <c r="F93" s="8">
        <v>0.1</v>
      </c>
      <c r="G93" s="7">
        <v>45552</v>
      </c>
      <c r="H93" s="23">
        <v>229.23</v>
      </c>
      <c r="J93">
        <v>1062.2199419447068</v>
      </c>
    </row>
    <row r="94" spans="1:10" x14ac:dyDescent="0.3">
      <c r="A94" s="10" t="s">
        <v>38</v>
      </c>
      <c r="B94" s="10" t="s">
        <v>18</v>
      </c>
      <c r="C94" s="10" t="s">
        <v>39</v>
      </c>
      <c r="D94" s="19">
        <v>875.41</v>
      </c>
      <c r="E94" s="11">
        <v>13</v>
      </c>
      <c r="F94" s="12">
        <v>0.15</v>
      </c>
      <c r="G94" s="13">
        <v>45552</v>
      </c>
      <c r="H94" s="22">
        <v>334.84</v>
      </c>
      <c r="J94">
        <v>1024.8579535557656</v>
      </c>
    </row>
    <row r="95" spans="1:10" x14ac:dyDescent="0.3">
      <c r="A95" s="2" t="s">
        <v>23</v>
      </c>
      <c r="B95" s="2" t="s">
        <v>11</v>
      </c>
      <c r="C95" s="2" t="s">
        <v>21</v>
      </c>
      <c r="D95" s="20">
        <v>1158.94</v>
      </c>
      <c r="E95" s="6">
        <v>19</v>
      </c>
      <c r="F95" s="8">
        <v>0.2</v>
      </c>
      <c r="G95" s="7">
        <v>45553</v>
      </c>
      <c r="H95" s="23">
        <v>231.79</v>
      </c>
      <c r="J95">
        <v>1051.6743628446125</v>
      </c>
    </row>
    <row r="96" spans="1:10" x14ac:dyDescent="0.3">
      <c r="A96" s="10" t="s">
        <v>47</v>
      </c>
      <c r="B96" s="10" t="s">
        <v>20</v>
      </c>
      <c r="C96" s="10" t="s">
        <v>12</v>
      </c>
      <c r="D96" s="19">
        <v>966.3</v>
      </c>
      <c r="E96" s="11">
        <v>2</v>
      </c>
      <c r="F96" s="12">
        <v>0.15</v>
      </c>
      <c r="G96" s="13">
        <v>45557</v>
      </c>
      <c r="H96" s="22">
        <v>328.54</v>
      </c>
      <c r="J96">
        <v>1034.59949027569</v>
      </c>
    </row>
    <row r="97" spans="1:10" x14ac:dyDescent="0.3">
      <c r="A97" s="2" t="s">
        <v>17</v>
      </c>
      <c r="B97" s="2" t="s">
        <v>20</v>
      </c>
      <c r="C97" s="2" t="s">
        <v>12</v>
      </c>
      <c r="D97" s="20">
        <v>917.48</v>
      </c>
      <c r="E97" s="6">
        <v>6</v>
      </c>
      <c r="F97" s="8">
        <v>0</v>
      </c>
      <c r="G97" s="7">
        <v>45558</v>
      </c>
      <c r="H97" s="23">
        <v>366.99</v>
      </c>
      <c r="J97">
        <v>1011.1755922205519</v>
      </c>
    </row>
    <row r="98" spans="1:10" x14ac:dyDescent="0.3">
      <c r="A98" s="10" t="s">
        <v>61</v>
      </c>
      <c r="B98" s="10" t="s">
        <v>11</v>
      </c>
      <c r="C98" s="10" t="s">
        <v>27</v>
      </c>
      <c r="D98" s="19">
        <v>1172.97</v>
      </c>
      <c r="E98" s="11">
        <v>7</v>
      </c>
      <c r="F98" s="12">
        <v>0.15</v>
      </c>
      <c r="G98" s="13">
        <v>45559</v>
      </c>
      <c r="H98" s="22">
        <v>348.96</v>
      </c>
      <c r="J98">
        <v>1043.5344737764417</v>
      </c>
    </row>
    <row r="99" spans="1:10" x14ac:dyDescent="0.3">
      <c r="A99" s="2" t="s">
        <v>23</v>
      </c>
      <c r="B99" s="2" t="s">
        <v>24</v>
      </c>
      <c r="C99" s="2" t="s">
        <v>15</v>
      </c>
      <c r="D99" s="20">
        <v>1205.82</v>
      </c>
      <c r="E99" s="6">
        <v>11</v>
      </c>
      <c r="F99" s="8">
        <v>0.1</v>
      </c>
      <c r="G99" s="7">
        <v>45559</v>
      </c>
      <c r="H99" s="23">
        <v>542.62</v>
      </c>
      <c r="J99">
        <v>1075.9915790211535</v>
      </c>
    </row>
    <row r="100" spans="1:10" x14ac:dyDescent="0.3">
      <c r="A100" s="10" t="s">
        <v>64</v>
      </c>
      <c r="B100" s="10" t="s">
        <v>11</v>
      </c>
      <c r="C100" s="10" t="s">
        <v>39</v>
      </c>
      <c r="D100" s="19">
        <v>826.93</v>
      </c>
      <c r="E100" s="11">
        <v>10</v>
      </c>
      <c r="F100" s="12">
        <v>0.2</v>
      </c>
      <c r="G100" s="13">
        <v>45564</v>
      </c>
      <c r="H100" s="22">
        <v>297.69</v>
      </c>
      <c r="J100">
        <v>1026.1792632169229</v>
      </c>
    </row>
    <row r="101" spans="1:10" x14ac:dyDescent="0.3">
      <c r="A101" s="2" t="s">
        <v>23</v>
      </c>
      <c r="B101" s="2" t="s">
        <v>34</v>
      </c>
      <c r="C101" s="2" t="s">
        <v>15</v>
      </c>
      <c r="D101" s="20">
        <v>902.19</v>
      </c>
      <c r="E101" s="6">
        <v>12</v>
      </c>
      <c r="F101" s="8">
        <v>0</v>
      </c>
      <c r="G101" s="7">
        <v>45564</v>
      </c>
      <c r="H101" s="23">
        <v>451.1</v>
      </c>
      <c r="J101">
        <v>1001.3814105735383</v>
      </c>
    </row>
    <row r="102" spans="1:10" x14ac:dyDescent="0.3">
      <c r="A102" s="10" t="s">
        <v>38</v>
      </c>
      <c r="B102" s="10" t="s">
        <v>24</v>
      </c>
      <c r="C102" s="10" t="s">
        <v>12</v>
      </c>
      <c r="D102" s="19">
        <v>585.97</v>
      </c>
      <c r="E102" s="11">
        <v>17</v>
      </c>
      <c r="F102" s="12">
        <v>0.1</v>
      </c>
      <c r="G102" s="13">
        <v>45565</v>
      </c>
      <c r="H102" s="22">
        <v>210.95</v>
      </c>
      <c r="J102">
        <v>918.29912845883064</v>
      </c>
    </row>
    <row r="103" spans="1:10" x14ac:dyDescent="0.3">
      <c r="A103" s="2" t="s">
        <v>26</v>
      </c>
      <c r="B103" s="2" t="s">
        <v>24</v>
      </c>
      <c r="C103" s="2" t="s">
        <v>15</v>
      </c>
      <c r="D103" s="20">
        <v>990.19</v>
      </c>
      <c r="E103" s="6">
        <v>8</v>
      </c>
      <c r="F103" s="8">
        <v>0.1</v>
      </c>
      <c r="G103" s="7">
        <v>45565</v>
      </c>
      <c r="H103" s="23">
        <v>445.59</v>
      </c>
      <c r="J103">
        <v>932.67730276706459</v>
      </c>
    </row>
    <row r="104" spans="1:10" x14ac:dyDescent="0.3">
      <c r="A104" s="10" t="s">
        <v>56</v>
      </c>
      <c r="B104" s="10" t="s">
        <v>34</v>
      </c>
      <c r="C104" s="10" t="s">
        <v>21</v>
      </c>
      <c r="D104" s="19">
        <v>1014.09</v>
      </c>
      <c r="E104" s="11">
        <v>13</v>
      </c>
      <c r="F104" s="12">
        <v>0.2</v>
      </c>
      <c r="G104" s="13">
        <v>45567</v>
      </c>
      <c r="H104" s="22">
        <v>202.82</v>
      </c>
      <c r="J104">
        <v>948.95984221365165</v>
      </c>
    </row>
    <row r="105" spans="1:10" x14ac:dyDescent="0.3">
      <c r="A105" s="2" t="s">
        <v>48</v>
      </c>
      <c r="B105" s="2" t="s">
        <v>24</v>
      </c>
      <c r="C105" s="2" t="s">
        <v>21</v>
      </c>
      <c r="D105" s="20">
        <v>925.29</v>
      </c>
      <c r="E105" s="6">
        <v>17</v>
      </c>
      <c r="F105" s="8">
        <v>0</v>
      </c>
      <c r="G105" s="7">
        <v>45570</v>
      </c>
      <c r="H105" s="23">
        <v>231.32</v>
      </c>
      <c r="J105">
        <v>944.22587377092134</v>
      </c>
    </row>
    <row r="106" spans="1:10" x14ac:dyDescent="0.3">
      <c r="A106" s="10" t="s">
        <v>47</v>
      </c>
      <c r="B106" s="10" t="s">
        <v>18</v>
      </c>
      <c r="C106" s="10" t="s">
        <v>27</v>
      </c>
      <c r="D106" s="19">
        <v>1286.54</v>
      </c>
      <c r="E106" s="11">
        <v>8</v>
      </c>
      <c r="F106" s="12">
        <v>0</v>
      </c>
      <c r="G106" s="13">
        <v>45575</v>
      </c>
      <c r="H106" s="22">
        <v>450.29</v>
      </c>
      <c r="J106">
        <v>1012.6886990167371</v>
      </c>
    </row>
    <row r="107" spans="1:10" x14ac:dyDescent="0.3">
      <c r="A107" s="2" t="s">
        <v>64</v>
      </c>
      <c r="B107" s="2" t="s">
        <v>20</v>
      </c>
      <c r="C107" s="2" t="s">
        <v>12</v>
      </c>
      <c r="D107" s="20">
        <v>961.62</v>
      </c>
      <c r="E107" s="6">
        <v>8</v>
      </c>
      <c r="F107" s="8">
        <v>0.2</v>
      </c>
      <c r="G107" s="7">
        <v>45577</v>
      </c>
      <c r="H107" s="23">
        <v>307.72000000000003</v>
      </c>
      <c r="J107">
        <v>1002.4749592133899</v>
      </c>
    </row>
    <row r="108" spans="1:10" x14ac:dyDescent="0.3">
      <c r="A108" s="10" t="s">
        <v>23</v>
      </c>
      <c r="B108" s="10" t="s">
        <v>18</v>
      </c>
      <c r="C108" s="10" t="s">
        <v>12</v>
      </c>
      <c r="D108" s="19">
        <v>1081.1400000000001</v>
      </c>
      <c r="E108" s="11">
        <v>19</v>
      </c>
      <c r="F108" s="12">
        <v>0.15</v>
      </c>
      <c r="G108" s="13">
        <v>45577</v>
      </c>
      <c r="H108" s="22">
        <v>367.59</v>
      </c>
      <c r="J108">
        <v>1018.207967370712</v>
      </c>
    </row>
    <row r="109" spans="1:10" x14ac:dyDescent="0.3">
      <c r="A109" s="2" t="s">
        <v>23</v>
      </c>
      <c r="B109" s="2" t="s">
        <v>11</v>
      </c>
      <c r="C109" s="2" t="s">
        <v>15</v>
      </c>
      <c r="D109" s="20">
        <v>1923.66</v>
      </c>
      <c r="E109" s="6">
        <v>9</v>
      </c>
      <c r="F109" s="8">
        <v>0.2</v>
      </c>
      <c r="G109" s="7">
        <v>45580</v>
      </c>
      <c r="H109" s="23">
        <v>769.46</v>
      </c>
      <c r="J109">
        <v>1199.2983738965697</v>
      </c>
    </row>
    <row r="110" spans="1:10" x14ac:dyDescent="0.3">
      <c r="A110" s="10" t="s">
        <v>66</v>
      </c>
      <c r="B110" s="10" t="s">
        <v>34</v>
      </c>
      <c r="C110" s="10" t="s">
        <v>15</v>
      </c>
      <c r="D110" s="19">
        <v>728.71</v>
      </c>
      <c r="E110" s="11">
        <v>14</v>
      </c>
      <c r="F110" s="12">
        <v>0.1</v>
      </c>
      <c r="G110" s="13">
        <v>45581</v>
      </c>
      <c r="H110" s="22">
        <v>327.92</v>
      </c>
      <c r="J110">
        <v>1105.1806991172559</v>
      </c>
    </row>
    <row r="111" spans="1:10" x14ac:dyDescent="0.3">
      <c r="A111" s="2" t="s">
        <v>33</v>
      </c>
      <c r="B111" s="2" t="s">
        <v>34</v>
      </c>
      <c r="C111" s="2" t="s">
        <v>15</v>
      </c>
      <c r="D111" s="20">
        <v>1301.8900000000001</v>
      </c>
      <c r="E111" s="6">
        <v>7</v>
      </c>
      <c r="F111" s="8">
        <v>0.15</v>
      </c>
      <c r="G111" s="7">
        <v>45581</v>
      </c>
      <c r="H111" s="23">
        <v>553.29999999999995</v>
      </c>
      <c r="J111">
        <v>1144.522559293805</v>
      </c>
    </row>
    <row r="112" spans="1:10" x14ac:dyDescent="0.3">
      <c r="A112" s="10" t="s">
        <v>66</v>
      </c>
      <c r="B112" s="10" t="s">
        <v>18</v>
      </c>
      <c r="C112" s="10" t="s">
        <v>12</v>
      </c>
      <c r="D112" s="19">
        <v>980.18</v>
      </c>
      <c r="E112" s="11">
        <v>16</v>
      </c>
      <c r="F112" s="12">
        <v>0.1</v>
      </c>
      <c r="G112" s="13">
        <v>45582</v>
      </c>
      <c r="H112" s="22">
        <v>352.86</v>
      </c>
      <c r="J112">
        <v>1111.654047435044</v>
      </c>
    </row>
    <row r="113" spans="1:10" x14ac:dyDescent="0.3">
      <c r="A113" s="2" t="s">
        <v>23</v>
      </c>
      <c r="B113" s="2" t="s">
        <v>11</v>
      </c>
      <c r="C113" s="2" t="s">
        <v>15</v>
      </c>
      <c r="D113" s="20">
        <v>697.57</v>
      </c>
      <c r="E113" s="6">
        <v>17</v>
      </c>
      <c r="F113" s="8">
        <v>0.1</v>
      </c>
      <c r="G113" s="7">
        <v>45584</v>
      </c>
      <c r="H113" s="23">
        <v>313.91000000000003</v>
      </c>
      <c r="J113">
        <v>1028.8372379480352</v>
      </c>
    </row>
    <row r="114" spans="1:10" x14ac:dyDescent="0.3">
      <c r="A114" s="10" t="s">
        <v>71</v>
      </c>
      <c r="B114" s="10" t="s">
        <v>11</v>
      </c>
      <c r="C114" s="10" t="s">
        <v>27</v>
      </c>
      <c r="D114" s="19">
        <v>1193.6099999999999</v>
      </c>
      <c r="E114" s="11">
        <v>1</v>
      </c>
      <c r="F114" s="12">
        <v>0.15</v>
      </c>
      <c r="G114" s="13">
        <v>45584</v>
      </c>
      <c r="H114" s="22">
        <v>355.1</v>
      </c>
      <c r="J114">
        <v>1061.7917903584282</v>
      </c>
    </row>
    <row r="115" spans="1:10" x14ac:dyDescent="0.3">
      <c r="A115" s="2" t="s">
        <v>38</v>
      </c>
      <c r="B115" s="2" t="s">
        <v>20</v>
      </c>
      <c r="C115" s="2" t="s">
        <v>21</v>
      </c>
      <c r="D115" s="20">
        <v>771.02</v>
      </c>
      <c r="E115" s="6">
        <v>1</v>
      </c>
      <c r="F115" s="8">
        <v>0</v>
      </c>
      <c r="G115" s="7">
        <v>45585</v>
      </c>
      <c r="H115" s="23">
        <v>192.76</v>
      </c>
      <c r="J115">
        <v>1003.6374322867425</v>
      </c>
    </row>
    <row r="116" spans="1:10" x14ac:dyDescent="0.3">
      <c r="A116" s="10" t="s">
        <v>69</v>
      </c>
      <c r="B116" s="10" t="s">
        <v>24</v>
      </c>
      <c r="C116" s="10" t="s">
        <v>15</v>
      </c>
      <c r="D116" s="19">
        <v>661.09</v>
      </c>
      <c r="E116" s="11">
        <v>1</v>
      </c>
      <c r="F116" s="12">
        <v>0.2</v>
      </c>
      <c r="G116" s="13">
        <v>45593</v>
      </c>
      <c r="H116" s="22">
        <v>264.44</v>
      </c>
      <c r="J116">
        <v>935.12794582939409</v>
      </c>
    </row>
    <row r="117" spans="1:10" x14ac:dyDescent="0.3">
      <c r="A117" s="2" t="s">
        <v>55</v>
      </c>
      <c r="B117" s="2" t="s">
        <v>11</v>
      </c>
      <c r="C117" s="2" t="s">
        <v>21</v>
      </c>
      <c r="D117" s="20">
        <v>688.83</v>
      </c>
      <c r="E117" s="6">
        <v>15</v>
      </c>
      <c r="F117" s="8">
        <v>0</v>
      </c>
      <c r="G117" s="7">
        <v>45595</v>
      </c>
      <c r="H117" s="23">
        <v>172.21</v>
      </c>
      <c r="J117">
        <v>885.86835666351544</v>
      </c>
    </row>
    <row r="118" spans="1:10" x14ac:dyDescent="0.3">
      <c r="A118" s="10" t="s">
        <v>29</v>
      </c>
      <c r="B118" s="10" t="s">
        <v>34</v>
      </c>
      <c r="C118" s="10" t="s">
        <v>12</v>
      </c>
      <c r="D118" s="19">
        <v>1249.0999999999999</v>
      </c>
      <c r="E118" s="11">
        <v>4</v>
      </c>
      <c r="F118" s="12">
        <v>0.05</v>
      </c>
      <c r="G118" s="13">
        <v>45597</v>
      </c>
      <c r="H118" s="22">
        <v>474.66</v>
      </c>
      <c r="J118">
        <v>958.51468533081243</v>
      </c>
    </row>
    <row r="119" spans="1:10" x14ac:dyDescent="0.3">
      <c r="A119" s="2" t="s">
        <v>23</v>
      </c>
      <c r="B119" s="2" t="s">
        <v>18</v>
      </c>
      <c r="C119" s="2" t="s">
        <v>39</v>
      </c>
      <c r="D119" s="20">
        <v>1014.22</v>
      </c>
      <c r="E119" s="6">
        <v>14</v>
      </c>
      <c r="F119" s="8">
        <v>0.05</v>
      </c>
      <c r="G119" s="7">
        <v>45599</v>
      </c>
      <c r="H119" s="23">
        <v>433.58</v>
      </c>
      <c r="J119">
        <v>969.65574826465001</v>
      </c>
    </row>
    <row r="120" spans="1:10" x14ac:dyDescent="0.3">
      <c r="A120" s="10" t="s">
        <v>48</v>
      </c>
      <c r="B120" s="10" t="s">
        <v>18</v>
      </c>
      <c r="C120" s="10" t="s">
        <v>12</v>
      </c>
      <c r="D120" s="19">
        <v>1010.58</v>
      </c>
      <c r="E120" s="11">
        <v>2</v>
      </c>
      <c r="F120" s="12">
        <v>0.15</v>
      </c>
      <c r="G120" s="13">
        <v>45605</v>
      </c>
      <c r="H120" s="22">
        <v>343.6</v>
      </c>
      <c r="J120">
        <v>977.84059861172</v>
      </c>
    </row>
    <row r="121" spans="1:10" x14ac:dyDescent="0.3">
      <c r="A121" s="2" t="s">
        <v>59</v>
      </c>
      <c r="B121" s="2" t="s">
        <v>24</v>
      </c>
      <c r="C121" s="2" t="s">
        <v>27</v>
      </c>
      <c r="D121" s="20">
        <v>957.29</v>
      </c>
      <c r="E121" s="6">
        <v>4</v>
      </c>
      <c r="F121" s="8">
        <v>0.05</v>
      </c>
      <c r="G121" s="7">
        <v>45605</v>
      </c>
      <c r="H121" s="23">
        <v>318.3</v>
      </c>
      <c r="J121">
        <v>973.73047888937606</v>
      </c>
    </row>
    <row r="122" spans="1:10" x14ac:dyDescent="0.3">
      <c r="A122" s="10" t="s">
        <v>45</v>
      </c>
      <c r="B122" s="10" t="s">
        <v>24</v>
      </c>
      <c r="C122" s="10" t="s">
        <v>27</v>
      </c>
      <c r="D122" s="19">
        <v>1077.92</v>
      </c>
      <c r="E122" s="11">
        <v>3</v>
      </c>
      <c r="F122" s="12">
        <v>0.05</v>
      </c>
      <c r="G122" s="13">
        <v>45608</v>
      </c>
      <c r="H122" s="22">
        <v>358.41</v>
      </c>
      <c r="J122">
        <v>994.56838311150091</v>
      </c>
    </row>
    <row r="123" spans="1:10" x14ac:dyDescent="0.3">
      <c r="A123" s="2" t="s">
        <v>50</v>
      </c>
      <c r="B123" s="2" t="s">
        <v>20</v>
      </c>
      <c r="C123" s="2" t="s">
        <v>15</v>
      </c>
      <c r="D123" s="20">
        <v>1163.01</v>
      </c>
      <c r="E123" s="6">
        <v>5</v>
      </c>
      <c r="F123" s="8">
        <v>0</v>
      </c>
      <c r="G123" s="7">
        <v>45611</v>
      </c>
      <c r="H123" s="23">
        <v>581.5</v>
      </c>
      <c r="J123">
        <v>1028.2567064892007</v>
      </c>
    </row>
    <row r="124" spans="1:10" x14ac:dyDescent="0.3">
      <c r="A124" s="10" t="s">
        <v>45</v>
      </c>
      <c r="B124" s="10" t="s">
        <v>18</v>
      </c>
      <c r="C124" s="10" t="s">
        <v>39</v>
      </c>
      <c r="D124" s="19">
        <v>1014.56</v>
      </c>
      <c r="E124" s="11">
        <v>10</v>
      </c>
      <c r="F124" s="12">
        <v>0.1</v>
      </c>
      <c r="G124" s="13">
        <v>45612</v>
      </c>
      <c r="H124" s="22">
        <v>410.9</v>
      </c>
      <c r="J124">
        <v>1025.5173651913606</v>
      </c>
    </row>
    <row r="125" spans="1:10" x14ac:dyDescent="0.3">
      <c r="A125" s="2" t="s">
        <v>17</v>
      </c>
      <c r="B125" s="2" t="s">
        <v>20</v>
      </c>
      <c r="C125" s="2" t="s">
        <v>21</v>
      </c>
      <c r="D125" s="20">
        <v>718.04</v>
      </c>
      <c r="E125" s="6">
        <v>14</v>
      </c>
      <c r="F125" s="8">
        <v>0</v>
      </c>
      <c r="G125" s="7">
        <v>45613</v>
      </c>
      <c r="H125" s="23">
        <v>179.51</v>
      </c>
      <c r="J125">
        <v>964.0218921530884</v>
      </c>
    </row>
    <row r="126" spans="1:10" x14ac:dyDescent="0.3">
      <c r="A126" s="10" t="s">
        <v>17</v>
      </c>
      <c r="B126" s="10" t="s">
        <v>34</v>
      </c>
      <c r="C126" s="10" t="s">
        <v>15</v>
      </c>
      <c r="D126" s="19">
        <v>1277.8499999999999</v>
      </c>
      <c r="E126" s="11">
        <v>18</v>
      </c>
      <c r="F126" s="12">
        <v>0.2</v>
      </c>
      <c r="G126" s="13">
        <v>45613</v>
      </c>
      <c r="H126" s="22">
        <v>511.14</v>
      </c>
      <c r="J126">
        <v>1026.7875137224707</v>
      </c>
    </row>
    <row r="127" spans="1:10" x14ac:dyDescent="0.3">
      <c r="A127" s="2" t="s">
        <v>23</v>
      </c>
      <c r="B127" s="2" t="s">
        <v>24</v>
      </c>
      <c r="C127" s="2" t="s">
        <v>21</v>
      </c>
      <c r="D127" s="20">
        <v>706.73</v>
      </c>
      <c r="E127" s="6">
        <v>1</v>
      </c>
      <c r="F127" s="8">
        <v>0.15</v>
      </c>
      <c r="G127" s="7">
        <v>45613</v>
      </c>
      <c r="H127" s="23">
        <v>150.18</v>
      </c>
      <c r="J127">
        <v>962.77601097797663</v>
      </c>
    </row>
    <row r="128" spans="1:10" x14ac:dyDescent="0.3">
      <c r="A128" s="10" t="s">
        <v>50</v>
      </c>
      <c r="B128" s="10" t="s">
        <v>18</v>
      </c>
      <c r="C128" s="10" t="s">
        <v>21</v>
      </c>
      <c r="D128" s="19">
        <v>1410.59</v>
      </c>
      <c r="E128" s="11">
        <v>15</v>
      </c>
      <c r="F128" s="12">
        <v>0</v>
      </c>
      <c r="G128" s="13">
        <v>45615</v>
      </c>
      <c r="H128" s="22">
        <v>352.65</v>
      </c>
      <c r="J128">
        <v>1052.3388087823814</v>
      </c>
    </row>
    <row r="129" spans="1:10" x14ac:dyDescent="0.3">
      <c r="A129" s="2" t="s">
        <v>61</v>
      </c>
      <c r="B129" s="2" t="s">
        <v>20</v>
      </c>
      <c r="C129" s="2" t="s">
        <v>27</v>
      </c>
      <c r="D129" s="20">
        <v>1350.33</v>
      </c>
      <c r="E129" s="6">
        <v>10</v>
      </c>
      <c r="F129" s="8">
        <v>0</v>
      </c>
      <c r="G129" s="7">
        <v>45615</v>
      </c>
      <c r="H129" s="23">
        <v>472.62</v>
      </c>
      <c r="J129">
        <v>1111.9370470259053</v>
      </c>
    </row>
    <row r="130" spans="1:10" x14ac:dyDescent="0.3">
      <c r="A130" s="10" t="s">
        <v>45</v>
      </c>
      <c r="B130" s="10" t="s">
        <v>18</v>
      </c>
      <c r="C130" s="10" t="s">
        <v>21</v>
      </c>
      <c r="D130" s="19">
        <v>919.18</v>
      </c>
      <c r="E130" s="11">
        <v>4</v>
      </c>
      <c r="F130" s="12">
        <v>0.15</v>
      </c>
      <c r="G130" s="13">
        <v>45615</v>
      </c>
      <c r="H130" s="22">
        <v>195.33</v>
      </c>
      <c r="J130">
        <v>1073.3856376207243</v>
      </c>
    </row>
    <row r="131" spans="1:10" x14ac:dyDescent="0.3">
      <c r="A131" s="2" t="s">
        <v>23</v>
      </c>
      <c r="B131" s="2" t="s">
        <v>11</v>
      </c>
      <c r="C131" s="2" t="s">
        <v>21</v>
      </c>
      <c r="D131" s="20">
        <v>258.51</v>
      </c>
      <c r="E131" s="6">
        <v>19</v>
      </c>
      <c r="F131" s="8">
        <v>0</v>
      </c>
      <c r="G131" s="7">
        <v>45616</v>
      </c>
      <c r="H131" s="23">
        <v>64.63</v>
      </c>
      <c r="J131">
        <v>910.41051009657951</v>
      </c>
    </row>
    <row r="132" spans="1:10" x14ac:dyDescent="0.3">
      <c r="A132" s="10" t="s">
        <v>61</v>
      </c>
      <c r="B132" s="10" t="s">
        <v>18</v>
      </c>
      <c r="C132" s="10" t="s">
        <v>12</v>
      </c>
      <c r="D132" s="19">
        <v>1213.48</v>
      </c>
      <c r="E132" s="11">
        <v>5</v>
      </c>
      <c r="F132" s="12">
        <v>0.05</v>
      </c>
      <c r="G132" s="13">
        <v>45616</v>
      </c>
      <c r="H132" s="22">
        <v>461.12</v>
      </c>
      <c r="J132">
        <v>971.02440807726373</v>
      </c>
    </row>
    <row r="133" spans="1:10" x14ac:dyDescent="0.3">
      <c r="A133" s="2" t="s">
        <v>38</v>
      </c>
      <c r="B133" s="2" t="s">
        <v>34</v>
      </c>
      <c r="C133" s="2" t="s">
        <v>12</v>
      </c>
      <c r="D133" s="20">
        <v>1150.28</v>
      </c>
      <c r="E133" s="6">
        <v>8</v>
      </c>
      <c r="F133" s="8">
        <v>0.05</v>
      </c>
      <c r="G133" s="7">
        <v>45622</v>
      </c>
      <c r="H133" s="23">
        <v>437.11</v>
      </c>
      <c r="J133">
        <v>1006.8755264618111</v>
      </c>
    </row>
    <row r="134" spans="1:10" x14ac:dyDescent="0.3">
      <c r="A134" s="10" t="s">
        <v>71</v>
      </c>
      <c r="B134" s="10" t="s">
        <v>20</v>
      </c>
      <c r="C134" s="10" t="s">
        <v>27</v>
      </c>
      <c r="D134" s="19">
        <v>853.86</v>
      </c>
      <c r="E134" s="11">
        <v>8</v>
      </c>
      <c r="F134" s="12">
        <v>0.1</v>
      </c>
      <c r="G134" s="13">
        <v>45622</v>
      </c>
      <c r="H134" s="22">
        <v>268.97000000000003</v>
      </c>
      <c r="J134">
        <v>976.27242116944899</v>
      </c>
    </row>
    <row r="135" spans="1:10" x14ac:dyDescent="0.3">
      <c r="A135" s="2" t="s">
        <v>45</v>
      </c>
      <c r="B135" s="2" t="s">
        <v>20</v>
      </c>
      <c r="C135" s="2" t="s">
        <v>21</v>
      </c>
      <c r="D135" s="20">
        <v>1061.04</v>
      </c>
      <c r="E135" s="6">
        <v>1</v>
      </c>
      <c r="F135" s="8">
        <v>0</v>
      </c>
      <c r="G135" s="7">
        <v>45624</v>
      </c>
      <c r="H135" s="23">
        <v>265.26</v>
      </c>
      <c r="J135">
        <v>993.22593693555916</v>
      </c>
    </row>
    <row r="136" spans="1:10" x14ac:dyDescent="0.3">
      <c r="A136" s="10" t="s">
        <v>43</v>
      </c>
      <c r="B136" s="10" t="s">
        <v>11</v>
      </c>
      <c r="C136" s="10" t="s">
        <v>21</v>
      </c>
      <c r="D136" s="19">
        <v>894.55</v>
      </c>
      <c r="E136" s="11">
        <v>19</v>
      </c>
      <c r="F136" s="12">
        <v>0.2</v>
      </c>
      <c r="G136" s="13">
        <v>45625</v>
      </c>
      <c r="H136" s="22">
        <v>178.91</v>
      </c>
      <c r="J136">
        <v>973.4907495484473</v>
      </c>
    </row>
    <row r="137" spans="1:10" x14ac:dyDescent="0.3">
      <c r="A137" s="2" t="s">
        <v>38</v>
      </c>
      <c r="B137" s="2" t="s">
        <v>24</v>
      </c>
      <c r="C137" s="2" t="s">
        <v>39</v>
      </c>
      <c r="D137" s="20">
        <v>833.91</v>
      </c>
      <c r="E137" s="6">
        <v>3</v>
      </c>
      <c r="F137" s="8">
        <v>0.05</v>
      </c>
      <c r="G137" s="7">
        <v>45626</v>
      </c>
      <c r="H137" s="23">
        <v>356.5</v>
      </c>
      <c r="J137">
        <v>945.57459963875795</v>
      </c>
    </row>
    <row r="138" spans="1:10" x14ac:dyDescent="0.3">
      <c r="A138" s="10" t="s">
        <v>71</v>
      </c>
      <c r="B138" s="10" t="s">
        <v>11</v>
      </c>
      <c r="C138" s="10" t="s">
        <v>27</v>
      </c>
      <c r="D138" s="19">
        <v>820.19</v>
      </c>
      <c r="E138" s="11">
        <v>4</v>
      </c>
      <c r="F138" s="12">
        <v>0.2</v>
      </c>
      <c r="G138" s="13">
        <v>45630</v>
      </c>
      <c r="H138" s="22">
        <v>229.65</v>
      </c>
      <c r="J138">
        <v>920.49767971100641</v>
      </c>
    </row>
    <row r="139" spans="1:10" x14ac:dyDescent="0.3">
      <c r="A139" s="2" t="s">
        <v>38</v>
      </c>
      <c r="B139" s="2" t="s">
        <v>34</v>
      </c>
      <c r="C139" s="2" t="s">
        <v>21</v>
      </c>
      <c r="D139" s="20">
        <v>511.74</v>
      </c>
      <c r="E139" s="6">
        <v>8</v>
      </c>
      <c r="F139" s="8">
        <v>0.05</v>
      </c>
      <c r="G139" s="7">
        <v>45631</v>
      </c>
      <c r="H139" s="23">
        <v>121.54</v>
      </c>
      <c r="J139">
        <v>838.74614376880527</v>
      </c>
    </row>
    <row r="140" spans="1:10" x14ac:dyDescent="0.3">
      <c r="A140" s="10" t="s">
        <v>61</v>
      </c>
      <c r="B140" s="10" t="s">
        <v>20</v>
      </c>
      <c r="C140" s="10" t="s">
        <v>27</v>
      </c>
      <c r="D140" s="19">
        <v>806.03</v>
      </c>
      <c r="E140" s="11">
        <v>19</v>
      </c>
      <c r="F140" s="12">
        <v>0.05</v>
      </c>
      <c r="G140" s="13">
        <v>45638</v>
      </c>
      <c r="H140" s="22">
        <v>268</v>
      </c>
      <c r="J140">
        <v>832.20291501504425</v>
      </c>
    </row>
    <row r="141" spans="1:10" x14ac:dyDescent="0.3">
      <c r="A141" s="2" t="s">
        <v>26</v>
      </c>
      <c r="B141" s="2" t="s">
        <v>34</v>
      </c>
      <c r="C141" s="2" t="s">
        <v>27</v>
      </c>
      <c r="D141" s="20">
        <v>1432.47</v>
      </c>
      <c r="E141" s="6">
        <v>16</v>
      </c>
      <c r="F141" s="8">
        <v>0.15</v>
      </c>
      <c r="G141" s="7">
        <v>45640</v>
      </c>
      <c r="H141" s="23">
        <v>426.16</v>
      </c>
      <c r="J141">
        <v>952.2563320120355</v>
      </c>
    </row>
    <row r="142" spans="1:10" x14ac:dyDescent="0.3">
      <c r="A142" s="10" t="s">
        <v>29</v>
      </c>
      <c r="B142" s="10" t="s">
        <v>34</v>
      </c>
      <c r="C142" s="10" t="s">
        <v>21</v>
      </c>
      <c r="D142" s="19">
        <v>1488.58</v>
      </c>
      <c r="E142" s="11">
        <v>10</v>
      </c>
      <c r="F142" s="12">
        <v>0.15</v>
      </c>
      <c r="G142" s="13">
        <v>45640</v>
      </c>
      <c r="H142" s="22">
        <v>316.32</v>
      </c>
      <c r="J142">
        <v>1059.5210656096283</v>
      </c>
    </row>
    <row r="143" spans="1:10" x14ac:dyDescent="0.3">
      <c r="A143" s="2" t="s">
        <v>66</v>
      </c>
      <c r="B143" s="2" t="s">
        <v>18</v>
      </c>
      <c r="C143" s="2" t="s">
        <v>12</v>
      </c>
      <c r="D143" s="20">
        <v>1231.26</v>
      </c>
      <c r="E143" s="6">
        <v>9</v>
      </c>
      <c r="F143" s="8">
        <v>0</v>
      </c>
      <c r="G143" s="7">
        <v>45646</v>
      </c>
      <c r="H143" s="23">
        <v>492.5</v>
      </c>
      <c r="J143">
        <v>1093.8688524877027</v>
      </c>
    </row>
    <row r="144" spans="1:10" x14ac:dyDescent="0.3">
      <c r="A144" s="10" t="s">
        <v>43</v>
      </c>
      <c r="B144" s="10" t="s">
        <v>11</v>
      </c>
      <c r="C144" s="10" t="s">
        <v>21</v>
      </c>
      <c r="D144" s="19">
        <v>1161.67</v>
      </c>
      <c r="E144" s="11">
        <v>19</v>
      </c>
      <c r="F144" s="12">
        <v>0.2</v>
      </c>
      <c r="G144" s="13">
        <v>45647</v>
      </c>
      <c r="H144" s="22">
        <v>232.33</v>
      </c>
      <c r="J144">
        <v>1107.4290819901623</v>
      </c>
    </row>
    <row r="145" spans="1:10" x14ac:dyDescent="0.3">
      <c r="A145" s="2" t="s">
        <v>45</v>
      </c>
      <c r="B145" s="2" t="s">
        <v>34</v>
      </c>
      <c r="C145" s="2" t="s">
        <v>39</v>
      </c>
      <c r="D145" s="20">
        <v>388.23</v>
      </c>
      <c r="E145" s="6">
        <v>16</v>
      </c>
      <c r="F145" s="8">
        <v>0.05</v>
      </c>
      <c r="G145" s="7">
        <v>45650</v>
      </c>
      <c r="H145" s="23">
        <v>165.97</v>
      </c>
      <c r="J145">
        <v>963.58926559213</v>
      </c>
    </row>
    <row r="146" spans="1:10" x14ac:dyDescent="0.3">
      <c r="A146" s="10" t="s">
        <v>31</v>
      </c>
      <c r="B146" s="10" t="s">
        <v>24</v>
      </c>
      <c r="C146" s="10" t="s">
        <v>15</v>
      </c>
      <c r="D146" s="19">
        <v>1589.42</v>
      </c>
      <c r="E146" s="11">
        <v>6</v>
      </c>
      <c r="F146" s="12">
        <v>0.15</v>
      </c>
      <c r="G146" s="13">
        <v>45651</v>
      </c>
      <c r="H146" s="22">
        <v>675.5</v>
      </c>
      <c r="J146">
        <v>1088.7554124737039</v>
      </c>
    </row>
    <row r="147" spans="1:10" x14ac:dyDescent="0.3">
      <c r="A147" s="2" t="s">
        <v>71</v>
      </c>
      <c r="B147" s="2" t="s">
        <v>24</v>
      </c>
      <c r="C147" s="2" t="s">
        <v>15</v>
      </c>
      <c r="D147" s="20">
        <v>336.66</v>
      </c>
      <c r="E147" s="6">
        <v>13</v>
      </c>
      <c r="F147" s="8">
        <v>0.2</v>
      </c>
      <c r="G147" s="7">
        <v>45651</v>
      </c>
      <c r="H147" s="23">
        <v>134.66</v>
      </c>
      <c r="J147">
        <v>938.33632997896314</v>
      </c>
    </row>
    <row r="148" spans="1:10" x14ac:dyDescent="0.3">
      <c r="A148" s="10" t="s">
        <v>23</v>
      </c>
      <c r="B148" s="10" t="s">
        <v>11</v>
      </c>
      <c r="C148" s="10" t="s">
        <v>12</v>
      </c>
      <c r="D148" s="19">
        <v>1353.79</v>
      </c>
      <c r="E148" s="11">
        <v>14</v>
      </c>
      <c r="F148" s="12">
        <v>0.1</v>
      </c>
      <c r="G148" s="13">
        <v>45656</v>
      </c>
      <c r="H148" s="22">
        <v>487.36</v>
      </c>
      <c r="J148">
        <v>1021.4270639831705</v>
      </c>
    </row>
    <row r="149" spans="1:10" x14ac:dyDescent="0.3">
      <c r="A149" s="2" t="s">
        <v>69</v>
      </c>
      <c r="B149" s="2" t="s">
        <v>34</v>
      </c>
      <c r="C149" s="2" t="s">
        <v>15</v>
      </c>
      <c r="D149" s="20">
        <v>662.61</v>
      </c>
      <c r="E149" s="6">
        <v>11</v>
      </c>
      <c r="F149" s="8">
        <v>0.05</v>
      </c>
      <c r="G149" s="7">
        <v>45658</v>
      </c>
      <c r="H149" s="23">
        <v>314.74</v>
      </c>
      <c r="J149">
        <v>949.66365118653641</v>
      </c>
    </row>
    <row r="150" spans="1:10" x14ac:dyDescent="0.3">
      <c r="A150" s="10" t="s">
        <v>48</v>
      </c>
      <c r="B150" s="10" t="s">
        <v>24</v>
      </c>
      <c r="C150" s="10" t="s">
        <v>39</v>
      </c>
      <c r="D150" s="19">
        <v>309.42</v>
      </c>
      <c r="E150" s="11">
        <v>1</v>
      </c>
      <c r="F150" s="12">
        <v>0.2</v>
      </c>
      <c r="G150" s="13">
        <v>45658</v>
      </c>
      <c r="H150" s="22">
        <v>111.39</v>
      </c>
      <c r="J150">
        <v>821.61492094922914</v>
      </c>
    </row>
    <row r="151" spans="1:10" x14ac:dyDescent="0.3">
      <c r="A151" s="2" t="s">
        <v>29</v>
      </c>
      <c r="B151" s="2" t="s">
        <v>24</v>
      </c>
      <c r="C151" s="2" t="s">
        <v>12</v>
      </c>
      <c r="D151" s="20">
        <v>884.63</v>
      </c>
      <c r="E151" s="6">
        <v>18</v>
      </c>
      <c r="F151" s="8">
        <v>0.1</v>
      </c>
      <c r="G151" s="7">
        <v>45659</v>
      </c>
      <c r="H151" s="23">
        <v>318.47000000000003</v>
      </c>
      <c r="J151">
        <v>834.21793675938341</v>
      </c>
    </row>
    <row r="152" spans="1:10" x14ac:dyDescent="0.3">
      <c r="A152" s="10" t="s">
        <v>23</v>
      </c>
      <c r="B152" s="10" t="s">
        <v>34</v>
      </c>
      <c r="C152" s="10" t="s">
        <v>39</v>
      </c>
      <c r="D152" s="19">
        <v>745.05</v>
      </c>
      <c r="E152" s="11">
        <v>10</v>
      </c>
      <c r="F152" s="12">
        <v>0.1</v>
      </c>
      <c r="G152" s="13">
        <v>45660</v>
      </c>
      <c r="H152" s="22">
        <v>301.75</v>
      </c>
      <c r="J152">
        <v>816.38434940750676</v>
      </c>
    </row>
    <row r="153" spans="1:10" x14ac:dyDescent="0.3">
      <c r="A153" s="2" t="s">
        <v>17</v>
      </c>
      <c r="B153" s="2" t="s">
        <v>20</v>
      </c>
      <c r="C153" s="2" t="s">
        <v>15</v>
      </c>
      <c r="D153" s="20">
        <v>870.23</v>
      </c>
      <c r="E153" s="6">
        <v>5</v>
      </c>
      <c r="F153" s="8">
        <v>0.05</v>
      </c>
      <c r="G153" s="7">
        <v>45660</v>
      </c>
      <c r="H153" s="23">
        <v>413.36</v>
      </c>
      <c r="J153">
        <v>827.15347952600553</v>
      </c>
    </row>
    <row r="154" spans="1:10" x14ac:dyDescent="0.3">
      <c r="A154" s="10" t="s">
        <v>29</v>
      </c>
      <c r="B154" s="10" t="s">
        <v>11</v>
      </c>
      <c r="C154" s="10" t="s">
        <v>27</v>
      </c>
      <c r="D154" s="19">
        <v>862.19</v>
      </c>
      <c r="E154" s="11">
        <v>18</v>
      </c>
      <c r="F154" s="12">
        <v>0.05</v>
      </c>
      <c r="G154" s="13">
        <v>45663</v>
      </c>
      <c r="H154" s="22">
        <v>286.68</v>
      </c>
      <c r="J154">
        <v>834.16078362080441</v>
      </c>
    </row>
    <row r="155" spans="1:10" x14ac:dyDescent="0.3">
      <c r="A155" s="2" t="s">
        <v>59</v>
      </c>
      <c r="B155" s="2" t="s">
        <v>24</v>
      </c>
      <c r="C155" s="2" t="s">
        <v>15</v>
      </c>
      <c r="D155" s="20">
        <v>1171.18</v>
      </c>
      <c r="E155" s="6">
        <v>19</v>
      </c>
      <c r="F155" s="8">
        <v>0.05</v>
      </c>
      <c r="G155" s="7">
        <v>45667</v>
      </c>
      <c r="H155" s="23">
        <v>556.30999999999995</v>
      </c>
      <c r="J155">
        <v>901.56462689664352</v>
      </c>
    </row>
    <row r="156" spans="1:10" x14ac:dyDescent="0.3">
      <c r="A156" s="10" t="s">
        <v>14</v>
      </c>
      <c r="B156" s="10" t="s">
        <v>20</v>
      </c>
      <c r="C156" s="10" t="s">
        <v>27</v>
      </c>
      <c r="D156" s="19">
        <v>1054.56</v>
      </c>
      <c r="E156" s="11">
        <v>11</v>
      </c>
      <c r="F156" s="12">
        <v>0.1</v>
      </c>
      <c r="G156" s="13">
        <v>45669</v>
      </c>
      <c r="H156" s="22">
        <v>332.19</v>
      </c>
      <c r="J156">
        <v>932.16370151731485</v>
      </c>
    </row>
    <row r="157" spans="1:10" x14ac:dyDescent="0.3">
      <c r="A157" s="2" t="s">
        <v>23</v>
      </c>
      <c r="B157" s="2" t="s">
        <v>24</v>
      </c>
      <c r="C157" s="2" t="s">
        <v>21</v>
      </c>
      <c r="D157" s="20">
        <v>1681.21</v>
      </c>
      <c r="E157" s="6">
        <v>5</v>
      </c>
      <c r="F157" s="8">
        <v>0.2</v>
      </c>
      <c r="G157" s="7">
        <v>45670</v>
      </c>
      <c r="H157" s="23">
        <v>336.24</v>
      </c>
      <c r="J157">
        <v>1081.9729612138519</v>
      </c>
    </row>
    <row r="158" spans="1:10" x14ac:dyDescent="0.3">
      <c r="A158" s="10" t="s">
        <v>36</v>
      </c>
      <c r="B158" s="10" t="s">
        <v>11</v>
      </c>
      <c r="C158" s="10" t="s">
        <v>15</v>
      </c>
      <c r="D158" s="19">
        <v>379.77</v>
      </c>
      <c r="E158" s="11">
        <v>9</v>
      </c>
      <c r="F158" s="12">
        <v>0.05</v>
      </c>
      <c r="G158" s="13">
        <v>45673</v>
      </c>
      <c r="H158" s="22">
        <v>180.39</v>
      </c>
      <c r="J158">
        <v>941.5323689710815</v>
      </c>
    </row>
    <row r="159" spans="1:10" x14ac:dyDescent="0.3">
      <c r="A159" s="2" t="s">
        <v>45</v>
      </c>
      <c r="B159" s="2" t="s">
        <v>34</v>
      </c>
      <c r="C159" s="2" t="s">
        <v>15</v>
      </c>
      <c r="D159" s="20">
        <v>1076.33</v>
      </c>
      <c r="E159" s="6">
        <v>2</v>
      </c>
      <c r="F159" s="8">
        <v>0.1</v>
      </c>
      <c r="G159" s="7">
        <v>45674</v>
      </c>
      <c r="H159" s="23">
        <v>484.35</v>
      </c>
      <c r="J159">
        <v>968.49189517686523</v>
      </c>
    </row>
    <row r="160" spans="1:10" x14ac:dyDescent="0.3">
      <c r="A160" s="10" t="s">
        <v>31</v>
      </c>
      <c r="B160" s="10" t="s">
        <v>34</v>
      </c>
      <c r="C160" s="10" t="s">
        <v>39</v>
      </c>
      <c r="D160" s="19">
        <v>1250.71</v>
      </c>
      <c r="E160" s="11">
        <v>7</v>
      </c>
      <c r="F160" s="12">
        <v>0</v>
      </c>
      <c r="G160" s="13">
        <v>45674</v>
      </c>
      <c r="H160" s="22">
        <v>562.82000000000005</v>
      </c>
      <c r="J160">
        <v>1024.9355161414921</v>
      </c>
    </row>
    <row r="161" spans="1:10" x14ac:dyDescent="0.3">
      <c r="A161" s="2" t="s">
        <v>17</v>
      </c>
      <c r="B161" s="2" t="s">
        <v>20</v>
      </c>
      <c r="C161" s="2" t="s">
        <v>15</v>
      </c>
      <c r="D161" s="20">
        <v>1118.3399999999999</v>
      </c>
      <c r="E161" s="6">
        <v>6</v>
      </c>
      <c r="F161" s="8">
        <v>0.2</v>
      </c>
      <c r="G161" s="7">
        <v>45674</v>
      </c>
      <c r="H161" s="23">
        <v>447.34</v>
      </c>
      <c r="J161">
        <v>1043.6164129131939</v>
      </c>
    </row>
    <row r="162" spans="1:10" x14ac:dyDescent="0.3">
      <c r="A162" s="10" t="s">
        <v>53</v>
      </c>
      <c r="B162" s="10" t="s">
        <v>24</v>
      </c>
      <c r="C162" s="10" t="s">
        <v>15</v>
      </c>
      <c r="D162" s="19">
        <v>1622.62</v>
      </c>
      <c r="E162" s="11">
        <v>12</v>
      </c>
      <c r="F162" s="12">
        <v>0.2</v>
      </c>
      <c r="G162" s="13">
        <v>45677</v>
      </c>
      <c r="H162" s="22">
        <v>649.04999999999995</v>
      </c>
      <c r="J162">
        <v>1159.4171303305552</v>
      </c>
    </row>
    <row r="163" spans="1:10" x14ac:dyDescent="0.3">
      <c r="A163" s="2" t="s">
        <v>48</v>
      </c>
      <c r="B163" s="2" t="s">
        <v>24</v>
      </c>
      <c r="C163" s="2" t="s">
        <v>12</v>
      </c>
      <c r="D163" s="20">
        <v>640.64</v>
      </c>
      <c r="E163" s="6">
        <v>11</v>
      </c>
      <c r="F163" s="8">
        <v>0.2</v>
      </c>
      <c r="G163" s="7">
        <v>45678</v>
      </c>
      <c r="H163" s="23">
        <v>205</v>
      </c>
      <c r="J163">
        <v>1055.6617042644441</v>
      </c>
    </row>
    <row r="164" spans="1:10" x14ac:dyDescent="0.3">
      <c r="A164" s="10" t="s">
        <v>43</v>
      </c>
      <c r="B164" s="10" t="s">
        <v>11</v>
      </c>
      <c r="C164" s="10" t="s">
        <v>15</v>
      </c>
      <c r="D164" s="19">
        <v>585.16</v>
      </c>
      <c r="E164" s="11">
        <v>17</v>
      </c>
      <c r="F164" s="12">
        <v>0.1</v>
      </c>
      <c r="G164" s="13">
        <v>45684</v>
      </c>
      <c r="H164" s="22">
        <v>263.32</v>
      </c>
      <c r="J164">
        <v>961.56136341155536</v>
      </c>
    </row>
    <row r="165" spans="1:10" x14ac:dyDescent="0.3">
      <c r="A165" s="2" t="s">
        <v>31</v>
      </c>
      <c r="B165" s="2" t="s">
        <v>18</v>
      </c>
      <c r="C165" s="2" t="s">
        <v>15</v>
      </c>
      <c r="D165" s="20">
        <v>1109.98</v>
      </c>
      <c r="E165" s="6">
        <v>5</v>
      </c>
      <c r="F165" s="8">
        <v>0.2</v>
      </c>
      <c r="G165" s="7">
        <v>45690</v>
      </c>
      <c r="H165" s="23">
        <v>443.99</v>
      </c>
      <c r="J165">
        <v>991.24509072924434</v>
      </c>
    </row>
    <row r="166" spans="1:10" x14ac:dyDescent="0.3">
      <c r="A166" s="10" t="s">
        <v>45</v>
      </c>
      <c r="B166" s="10" t="s">
        <v>18</v>
      </c>
      <c r="C166" s="10" t="s">
        <v>12</v>
      </c>
      <c r="D166" s="19">
        <v>1098.08</v>
      </c>
      <c r="E166" s="11">
        <v>9</v>
      </c>
      <c r="F166" s="12">
        <v>0.1</v>
      </c>
      <c r="G166" s="13">
        <v>45692</v>
      </c>
      <c r="H166" s="22">
        <v>395.31</v>
      </c>
      <c r="J166">
        <v>1012.6120725833955</v>
      </c>
    </row>
    <row r="167" spans="1:10" x14ac:dyDescent="0.3">
      <c r="A167" s="2" t="s">
        <v>48</v>
      </c>
      <c r="B167" s="2" t="s">
        <v>11</v>
      </c>
      <c r="C167" s="2" t="s">
        <v>39</v>
      </c>
      <c r="D167" s="20">
        <v>827.25</v>
      </c>
      <c r="E167" s="6">
        <v>7</v>
      </c>
      <c r="F167" s="8">
        <v>0.1</v>
      </c>
      <c r="G167" s="7">
        <v>45693</v>
      </c>
      <c r="H167" s="23">
        <v>335.04</v>
      </c>
      <c r="J167">
        <v>975.53965806671647</v>
      </c>
    </row>
    <row r="168" spans="1:10" x14ac:dyDescent="0.3">
      <c r="A168" s="10" t="s">
        <v>29</v>
      </c>
      <c r="B168" s="10" t="s">
        <v>34</v>
      </c>
      <c r="C168" s="10" t="s">
        <v>15</v>
      </c>
      <c r="D168" s="19">
        <v>741.88</v>
      </c>
      <c r="E168" s="11">
        <v>16</v>
      </c>
      <c r="F168" s="12">
        <v>0.1</v>
      </c>
      <c r="G168" s="13">
        <v>45695</v>
      </c>
      <c r="H168" s="22">
        <v>333.85</v>
      </c>
      <c r="J168">
        <v>928.80772645337322</v>
      </c>
    </row>
    <row r="169" spans="1:10" x14ac:dyDescent="0.3">
      <c r="A169" s="2" t="s">
        <v>10</v>
      </c>
      <c r="B169" s="2" t="s">
        <v>18</v>
      </c>
      <c r="C169" s="2" t="s">
        <v>39</v>
      </c>
      <c r="D169" s="20">
        <v>1311.26</v>
      </c>
      <c r="E169" s="6">
        <v>6</v>
      </c>
      <c r="F169" s="8">
        <v>0.1</v>
      </c>
      <c r="G169" s="7">
        <v>45698</v>
      </c>
      <c r="H169" s="23">
        <v>531.05999999999995</v>
      </c>
      <c r="J169">
        <v>1005.2981811626987</v>
      </c>
    </row>
    <row r="170" spans="1:10" x14ac:dyDescent="0.3">
      <c r="A170" s="10" t="s">
        <v>31</v>
      </c>
      <c r="B170" s="10" t="s">
        <v>20</v>
      </c>
      <c r="C170" s="10" t="s">
        <v>39</v>
      </c>
      <c r="D170" s="19">
        <v>573.32000000000005</v>
      </c>
      <c r="E170" s="11">
        <v>19</v>
      </c>
      <c r="F170" s="12">
        <v>0.1</v>
      </c>
      <c r="G170" s="13">
        <v>45703</v>
      </c>
      <c r="H170" s="22">
        <v>232.19</v>
      </c>
      <c r="J170">
        <v>918.90254493015902</v>
      </c>
    </row>
    <row r="171" spans="1:10" x14ac:dyDescent="0.3">
      <c r="A171" s="2" t="s">
        <v>23</v>
      </c>
      <c r="B171" s="2" t="s">
        <v>11</v>
      </c>
      <c r="C171" s="2" t="s">
        <v>21</v>
      </c>
      <c r="D171" s="20">
        <v>1115.22</v>
      </c>
      <c r="E171" s="6">
        <v>14</v>
      </c>
      <c r="F171" s="8">
        <v>0.2</v>
      </c>
      <c r="G171" s="7">
        <v>45705</v>
      </c>
      <c r="H171" s="23">
        <v>223.04</v>
      </c>
      <c r="J171">
        <v>958.1660359441272</v>
      </c>
    </row>
    <row r="172" spans="1:10" x14ac:dyDescent="0.3">
      <c r="A172" s="10" t="s">
        <v>45</v>
      </c>
      <c r="B172" s="10" t="s">
        <v>24</v>
      </c>
      <c r="C172" s="10" t="s">
        <v>15</v>
      </c>
      <c r="D172" s="19">
        <v>845.84</v>
      </c>
      <c r="E172" s="11">
        <v>4</v>
      </c>
      <c r="F172" s="12">
        <v>0</v>
      </c>
      <c r="G172" s="13">
        <v>45707</v>
      </c>
      <c r="H172" s="22">
        <v>422.92</v>
      </c>
      <c r="J172">
        <v>935.70082875530181</v>
      </c>
    </row>
    <row r="173" spans="1:10" x14ac:dyDescent="0.3">
      <c r="A173" s="2" t="s">
        <v>55</v>
      </c>
      <c r="B173" s="2" t="s">
        <v>11</v>
      </c>
      <c r="C173" s="2" t="s">
        <v>21</v>
      </c>
      <c r="D173" s="20">
        <v>1029.8</v>
      </c>
      <c r="E173" s="6">
        <v>3</v>
      </c>
      <c r="F173" s="8">
        <v>0</v>
      </c>
      <c r="G173" s="7">
        <v>45708</v>
      </c>
      <c r="H173" s="23">
        <v>257.45</v>
      </c>
      <c r="J173">
        <v>954.52066300424156</v>
      </c>
    </row>
    <row r="174" spans="1:10" x14ac:dyDescent="0.3">
      <c r="A174" s="10" t="s">
        <v>31</v>
      </c>
      <c r="B174" s="10" t="s">
        <v>24</v>
      </c>
      <c r="C174" s="10" t="s">
        <v>12</v>
      </c>
      <c r="D174" s="19">
        <v>1189.83</v>
      </c>
      <c r="E174" s="11">
        <v>2</v>
      </c>
      <c r="F174" s="12">
        <v>0.2</v>
      </c>
      <c r="G174" s="13">
        <v>45709</v>
      </c>
      <c r="H174" s="22">
        <v>380.75</v>
      </c>
      <c r="J174">
        <v>1001.5825304033933</v>
      </c>
    </row>
    <row r="175" spans="1:10" x14ac:dyDescent="0.3">
      <c r="A175" s="2" t="s">
        <v>43</v>
      </c>
      <c r="B175" s="2" t="s">
        <v>20</v>
      </c>
      <c r="C175" s="2" t="s">
        <v>12</v>
      </c>
      <c r="D175" s="20">
        <v>704.28</v>
      </c>
      <c r="E175" s="6">
        <v>15</v>
      </c>
      <c r="F175" s="8">
        <v>0.2</v>
      </c>
      <c r="G175" s="7">
        <v>45712</v>
      </c>
      <c r="H175" s="23">
        <v>225.37</v>
      </c>
      <c r="J175">
        <v>942.12202432271465</v>
      </c>
    </row>
    <row r="176" spans="1:10" x14ac:dyDescent="0.3">
      <c r="A176" s="10" t="s">
        <v>47</v>
      </c>
      <c r="B176" s="10" t="s">
        <v>34</v>
      </c>
      <c r="C176" s="10" t="s">
        <v>39</v>
      </c>
      <c r="D176" s="19">
        <v>1618.22</v>
      </c>
      <c r="E176" s="11">
        <v>12</v>
      </c>
      <c r="F176" s="12">
        <v>0.2</v>
      </c>
      <c r="G176" s="13">
        <v>45712</v>
      </c>
      <c r="H176" s="22">
        <v>582.55999999999995</v>
      </c>
      <c r="J176">
        <v>1077.3416194581719</v>
      </c>
    </row>
    <row r="177" spans="1:10" x14ac:dyDescent="0.3">
      <c r="A177" s="2" t="s">
        <v>53</v>
      </c>
      <c r="B177" s="2" t="s">
        <v>34</v>
      </c>
      <c r="C177" s="2" t="s">
        <v>12</v>
      </c>
      <c r="D177" s="20">
        <v>1014.43</v>
      </c>
      <c r="E177" s="6">
        <v>2</v>
      </c>
      <c r="F177" s="8">
        <v>0.15</v>
      </c>
      <c r="G177" s="7">
        <v>45713</v>
      </c>
      <c r="H177" s="23">
        <v>344.91</v>
      </c>
      <c r="J177">
        <v>1064.7592955665375</v>
      </c>
    </row>
    <row r="178" spans="1:10" x14ac:dyDescent="0.3">
      <c r="A178" s="10" t="s">
        <v>31</v>
      </c>
      <c r="B178" s="10" t="s">
        <v>34</v>
      </c>
      <c r="C178" s="10" t="s">
        <v>15</v>
      </c>
      <c r="D178" s="19">
        <v>826.97</v>
      </c>
      <c r="E178" s="11">
        <v>18</v>
      </c>
      <c r="F178" s="12">
        <v>0.2</v>
      </c>
      <c r="G178" s="13">
        <v>45715</v>
      </c>
      <c r="H178" s="22">
        <v>330.79</v>
      </c>
      <c r="J178">
        <v>1017.20143645323</v>
      </c>
    </row>
    <row r="179" spans="1:10" x14ac:dyDescent="0.3">
      <c r="A179" s="2" t="s">
        <v>31</v>
      </c>
      <c r="B179" s="2" t="s">
        <v>34</v>
      </c>
      <c r="C179" s="2" t="s">
        <v>15</v>
      </c>
      <c r="D179" s="20">
        <v>1022.23</v>
      </c>
      <c r="E179" s="6">
        <v>8</v>
      </c>
      <c r="F179" s="8">
        <v>0.1</v>
      </c>
      <c r="G179" s="7">
        <v>45717</v>
      </c>
      <c r="H179" s="23">
        <v>460</v>
      </c>
      <c r="J179">
        <v>1018.2071491625841</v>
      </c>
    </row>
    <row r="180" spans="1:10" x14ac:dyDescent="0.3">
      <c r="A180" s="10" t="s">
        <v>29</v>
      </c>
      <c r="B180" s="10" t="s">
        <v>18</v>
      </c>
      <c r="C180" s="10" t="s">
        <v>12</v>
      </c>
      <c r="D180" s="19">
        <v>1099.69</v>
      </c>
      <c r="E180" s="11">
        <v>6</v>
      </c>
      <c r="F180" s="12">
        <v>0</v>
      </c>
      <c r="G180" s="13">
        <v>45718</v>
      </c>
      <c r="H180" s="22">
        <v>439.88</v>
      </c>
      <c r="J180">
        <v>1034.5037193300673</v>
      </c>
    </row>
    <row r="181" spans="1:10" x14ac:dyDescent="0.3">
      <c r="A181" s="2" t="s">
        <v>64</v>
      </c>
      <c r="B181" s="2" t="s">
        <v>24</v>
      </c>
      <c r="C181" s="2" t="s">
        <v>12</v>
      </c>
      <c r="D181" s="20">
        <v>710.52</v>
      </c>
      <c r="E181" s="6">
        <v>8</v>
      </c>
      <c r="F181" s="8">
        <v>0.1</v>
      </c>
      <c r="G181" s="7">
        <v>45721</v>
      </c>
      <c r="H181" s="23">
        <v>255.79</v>
      </c>
      <c r="J181">
        <v>969.70697546405393</v>
      </c>
    </row>
    <row r="182" spans="1:10" x14ac:dyDescent="0.3">
      <c r="A182" s="10" t="s">
        <v>59</v>
      </c>
      <c r="B182" s="10" t="s">
        <v>24</v>
      </c>
      <c r="C182" s="10" t="s">
        <v>12</v>
      </c>
      <c r="D182" s="19">
        <v>499.18</v>
      </c>
      <c r="E182" s="11">
        <v>15</v>
      </c>
      <c r="F182" s="12">
        <v>0.2</v>
      </c>
      <c r="G182" s="13">
        <v>45724</v>
      </c>
      <c r="H182" s="22">
        <v>159.74</v>
      </c>
      <c r="J182">
        <v>875.60158037124324</v>
      </c>
    </row>
    <row r="183" spans="1:10" x14ac:dyDescent="0.3">
      <c r="A183" s="2" t="s">
        <v>38</v>
      </c>
      <c r="B183" s="2" t="s">
        <v>20</v>
      </c>
      <c r="C183" s="2" t="s">
        <v>12</v>
      </c>
      <c r="D183" s="20">
        <v>1064.19</v>
      </c>
      <c r="E183" s="6">
        <v>18</v>
      </c>
      <c r="F183" s="8">
        <v>0.05</v>
      </c>
      <c r="G183" s="7">
        <v>45725</v>
      </c>
      <c r="H183" s="23">
        <v>404.39</v>
      </c>
      <c r="J183">
        <v>913.31926429699456</v>
      </c>
    </row>
    <row r="184" spans="1:10" x14ac:dyDescent="0.3">
      <c r="A184" s="10" t="s">
        <v>38</v>
      </c>
      <c r="B184" s="10" t="s">
        <v>18</v>
      </c>
      <c r="C184" s="10" t="s">
        <v>39</v>
      </c>
      <c r="D184" s="19">
        <v>438.76</v>
      </c>
      <c r="E184" s="11">
        <v>18</v>
      </c>
      <c r="F184" s="12">
        <v>0.05</v>
      </c>
      <c r="G184" s="13">
        <v>45726</v>
      </c>
      <c r="H184" s="22">
        <v>187.57</v>
      </c>
      <c r="J184">
        <v>818.40741143759578</v>
      </c>
    </row>
    <row r="185" spans="1:10" x14ac:dyDescent="0.3">
      <c r="A185" s="2" t="s">
        <v>55</v>
      </c>
      <c r="B185" s="2" t="s">
        <v>11</v>
      </c>
      <c r="C185" s="2" t="s">
        <v>15</v>
      </c>
      <c r="D185" s="20">
        <v>864.98</v>
      </c>
      <c r="E185" s="6">
        <v>2</v>
      </c>
      <c r="F185" s="8">
        <v>0.05</v>
      </c>
      <c r="G185" s="7">
        <v>45727</v>
      </c>
      <c r="H185" s="23">
        <v>410.87</v>
      </c>
      <c r="J185">
        <v>827.72192915007668</v>
      </c>
    </row>
    <row r="186" spans="1:10" x14ac:dyDescent="0.3">
      <c r="A186" s="10" t="s">
        <v>55</v>
      </c>
      <c r="B186" s="10" t="s">
        <v>11</v>
      </c>
      <c r="C186" s="10" t="s">
        <v>27</v>
      </c>
      <c r="D186" s="19">
        <v>984.93</v>
      </c>
      <c r="E186" s="11">
        <v>14</v>
      </c>
      <c r="F186" s="12">
        <v>0.2</v>
      </c>
      <c r="G186" s="13">
        <v>45733</v>
      </c>
      <c r="H186" s="22">
        <v>275.77999999999997</v>
      </c>
      <c r="J186">
        <v>859.16354332006142</v>
      </c>
    </row>
    <row r="187" spans="1:10" x14ac:dyDescent="0.3">
      <c r="A187" s="2" t="s">
        <v>55</v>
      </c>
      <c r="B187" s="2" t="s">
        <v>11</v>
      </c>
      <c r="C187" s="2" t="s">
        <v>15</v>
      </c>
      <c r="D187" s="20">
        <v>1493.49</v>
      </c>
      <c r="E187" s="6">
        <v>18</v>
      </c>
      <c r="F187" s="8">
        <v>0</v>
      </c>
      <c r="G187" s="7">
        <v>45734</v>
      </c>
      <c r="H187" s="23">
        <v>746.74</v>
      </c>
      <c r="J187">
        <v>986.02883465604918</v>
      </c>
    </row>
    <row r="188" spans="1:10" x14ac:dyDescent="0.3">
      <c r="A188" s="10" t="s">
        <v>53</v>
      </c>
      <c r="B188" s="10" t="s">
        <v>20</v>
      </c>
      <c r="C188" s="10" t="s">
        <v>15</v>
      </c>
      <c r="D188" s="19">
        <v>689.43</v>
      </c>
      <c r="E188" s="11">
        <v>9</v>
      </c>
      <c r="F188" s="12">
        <v>0.1</v>
      </c>
      <c r="G188" s="13">
        <v>45736</v>
      </c>
      <c r="H188" s="22">
        <v>310.24</v>
      </c>
      <c r="J188">
        <v>926.70906772483931</v>
      </c>
    </row>
    <row r="189" spans="1:10" x14ac:dyDescent="0.3">
      <c r="A189" s="2" t="s">
        <v>59</v>
      </c>
      <c r="B189" s="2" t="s">
        <v>20</v>
      </c>
      <c r="C189" s="2" t="s">
        <v>15</v>
      </c>
      <c r="D189" s="20">
        <v>682.24</v>
      </c>
      <c r="E189" s="6">
        <v>1</v>
      </c>
      <c r="F189" s="8">
        <v>0</v>
      </c>
      <c r="G189" s="7">
        <v>45738</v>
      </c>
      <c r="H189" s="23">
        <v>341.12</v>
      </c>
      <c r="J189">
        <v>877.81525417987143</v>
      </c>
    </row>
    <row r="190" spans="1:10" x14ac:dyDescent="0.3">
      <c r="A190" s="10" t="s">
        <v>26</v>
      </c>
      <c r="B190" s="10" t="s">
        <v>24</v>
      </c>
      <c r="C190" s="10" t="s">
        <v>21</v>
      </c>
      <c r="D190" s="19">
        <v>458.54</v>
      </c>
      <c r="E190" s="11">
        <v>15</v>
      </c>
      <c r="F190" s="12">
        <v>0.2</v>
      </c>
      <c r="G190" s="13">
        <v>45741</v>
      </c>
      <c r="H190" s="22">
        <v>91.71</v>
      </c>
      <c r="J190">
        <v>793.96020334389721</v>
      </c>
    </row>
    <row r="191" spans="1:10" x14ac:dyDescent="0.3">
      <c r="A191" s="2" t="s">
        <v>26</v>
      </c>
      <c r="B191" s="2" t="s">
        <v>20</v>
      </c>
      <c r="C191" s="2" t="s">
        <v>27</v>
      </c>
      <c r="D191" s="20">
        <v>1184.25</v>
      </c>
      <c r="E191" s="6">
        <v>11</v>
      </c>
      <c r="F191" s="8">
        <v>0.2</v>
      </c>
      <c r="G191" s="7">
        <v>45742</v>
      </c>
      <c r="H191" s="23">
        <v>331.59</v>
      </c>
      <c r="J191">
        <v>872.01816267511788</v>
      </c>
    </row>
    <row r="192" spans="1:10" x14ac:dyDescent="0.3">
      <c r="A192" s="10" t="s">
        <v>10</v>
      </c>
      <c r="B192" s="10" t="s">
        <v>20</v>
      </c>
      <c r="C192" s="10" t="s">
        <v>15</v>
      </c>
      <c r="D192" s="19">
        <v>762.14</v>
      </c>
      <c r="E192" s="11">
        <v>9</v>
      </c>
      <c r="F192" s="12">
        <v>0</v>
      </c>
      <c r="G192" s="13">
        <v>45743</v>
      </c>
      <c r="H192" s="22">
        <v>381.07</v>
      </c>
      <c r="J192">
        <v>850.0425301400943</v>
      </c>
    </row>
    <row r="193" spans="1:10" x14ac:dyDescent="0.3">
      <c r="A193" s="2" t="s">
        <v>53</v>
      </c>
      <c r="B193" s="2" t="s">
        <v>24</v>
      </c>
      <c r="C193" s="2" t="s">
        <v>12</v>
      </c>
      <c r="D193" s="20">
        <v>750.71</v>
      </c>
      <c r="E193" s="6">
        <v>10</v>
      </c>
      <c r="F193" s="8">
        <v>0.15</v>
      </c>
      <c r="G193" s="7">
        <v>45743</v>
      </c>
      <c r="H193" s="23">
        <v>255.24</v>
      </c>
      <c r="J193">
        <v>830.17602411207554</v>
      </c>
    </row>
    <row r="194" spans="1:10" x14ac:dyDescent="0.3">
      <c r="A194" s="10" t="s">
        <v>71</v>
      </c>
      <c r="B194" s="10" t="s">
        <v>34</v>
      </c>
      <c r="C194" s="10" t="s">
        <v>15</v>
      </c>
      <c r="D194" s="19">
        <v>1456.94</v>
      </c>
      <c r="E194" s="11">
        <v>14</v>
      </c>
      <c r="F194" s="12">
        <v>0.05</v>
      </c>
      <c r="G194" s="13">
        <v>45745</v>
      </c>
      <c r="H194" s="22">
        <v>692.05</v>
      </c>
      <c r="J194">
        <v>955.52881928966053</v>
      </c>
    </row>
    <row r="195" spans="1:10" x14ac:dyDescent="0.3">
      <c r="A195" s="2" t="s">
        <v>61</v>
      </c>
      <c r="B195" s="2" t="s">
        <v>18</v>
      </c>
      <c r="C195" s="2" t="s">
        <v>27</v>
      </c>
      <c r="D195" s="20">
        <v>1093.3800000000001</v>
      </c>
      <c r="E195" s="6">
        <v>17</v>
      </c>
      <c r="F195" s="8">
        <v>0.1</v>
      </c>
      <c r="G195" s="7">
        <v>45745</v>
      </c>
      <c r="H195" s="23">
        <v>344.41</v>
      </c>
      <c r="J195">
        <v>983.09905543172852</v>
      </c>
    </row>
    <row r="196" spans="1:10" x14ac:dyDescent="0.3">
      <c r="A196" s="10" t="s">
        <v>43</v>
      </c>
      <c r="B196" s="10" t="s">
        <v>11</v>
      </c>
      <c r="C196" s="10" t="s">
        <v>15</v>
      </c>
      <c r="D196" s="19">
        <v>934.27</v>
      </c>
      <c r="E196" s="11">
        <v>8</v>
      </c>
      <c r="F196" s="12">
        <v>0.15</v>
      </c>
      <c r="G196" s="13">
        <v>45746</v>
      </c>
      <c r="H196" s="22">
        <v>397.06</v>
      </c>
      <c r="J196">
        <v>973.33324434538292</v>
      </c>
    </row>
    <row r="197" spans="1:10" x14ac:dyDescent="0.3">
      <c r="A197" s="2" t="s">
        <v>36</v>
      </c>
      <c r="B197" s="2" t="s">
        <v>34</v>
      </c>
      <c r="C197" s="2" t="s">
        <v>15</v>
      </c>
      <c r="D197" s="20">
        <v>1465.35</v>
      </c>
      <c r="E197" s="6">
        <v>8</v>
      </c>
      <c r="F197" s="8">
        <v>0.2</v>
      </c>
      <c r="G197" s="7">
        <v>45746</v>
      </c>
      <c r="H197" s="23">
        <v>586.14</v>
      </c>
      <c r="J197">
        <v>1071.7365954763063</v>
      </c>
    </row>
    <row r="198" spans="1:10" x14ac:dyDescent="0.3">
      <c r="A198" s="10" t="s">
        <v>14</v>
      </c>
      <c r="B198" s="10" t="s">
        <v>20</v>
      </c>
      <c r="C198" s="10" t="s">
        <v>39</v>
      </c>
      <c r="D198" s="19">
        <v>740.8</v>
      </c>
      <c r="E198" s="11">
        <v>3</v>
      </c>
      <c r="F198" s="12">
        <v>0</v>
      </c>
      <c r="G198" s="13">
        <v>45749</v>
      </c>
      <c r="H198" s="22">
        <v>333.36</v>
      </c>
      <c r="J198">
        <v>1005.549276381045</v>
      </c>
    </row>
    <row r="199" spans="1:10" x14ac:dyDescent="0.3">
      <c r="A199" s="2" t="s">
        <v>43</v>
      </c>
      <c r="B199" s="2" t="s">
        <v>11</v>
      </c>
      <c r="C199" s="2" t="s">
        <v>39</v>
      </c>
      <c r="D199" s="20">
        <v>545.44000000000005</v>
      </c>
      <c r="E199" s="6">
        <v>17</v>
      </c>
      <c r="F199" s="8">
        <v>0</v>
      </c>
      <c r="G199" s="7">
        <v>45752</v>
      </c>
      <c r="H199" s="23">
        <v>245.45</v>
      </c>
      <c r="J199">
        <v>913.52742110483609</v>
      </c>
    </row>
    <row r="200" spans="1:10" x14ac:dyDescent="0.3">
      <c r="A200" s="10" t="s">
        <v>36</v>
      </c>
      <c r="B200" s="10" t="s">
        <v>18</v>
      </c>
      <c r="C200" s="10" t="s">
        <v>12</v>
      </c>
      <c r="D200" s="19">
        <v>997.61</v>
      </c>
      <c r="E200" s="11">
        <v>8</v>
      </c>
      <c r="F200" s="12">
        <v>0.05</v>
      </c>
      <c r="G200" s="13">
        <v>45752</v>
      </c>
      <c r="H200" s="22">
        <v>379.09</v>
      </c>
      <c r="J200">
        <v>930.34393688386899</v>
      </c>
    </row>
    <row r="201" spans="1:10" ht="15" thickBot="1" x14ac:dyDescent="0.35">
      <c r="A201" s="14" t="s">
        <v>36</v>
      </c>
      <c r="B201" s="14" t="s">
        <v>20</v>
      </c>
      <c r="C201" s="14" t="s">
        <v>15</v>
      </c>
      <c r="D201" s="21">
        <v>928.32</v>
      </c>
      <c r="E201" s="15">
        <v>2</v>
      </c>
      <c r="F201" s="16">
        <v>0.05</v>
      </c>
      <c r="G201" s="17">
        <v>45754</v>
      </c>
      <c r="H201" s="24">
        <v>440.95</v>
      </c>
      <c r="J201">
        <v>929.93914950709518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5E19BB-11E4-4251-8824-B18FDF8BA249}">
  <dimension ref="A1:L203"/>
  <sheetViews>
    <sheetView topLeftCell="B95" zoomScale="141" workbookViewId="0">
      <selection sqref="A1:H148"/>
    </sheetView>
  </sheetViews>
  <sheetFormatPr defaultRowHeight="14.4" x14ac:dyDescent="0.3"/>
  <cols>
    <col min="1" max="1" width="17.44140625" bestFit="1" customWidth="1"/>
    <col min="2" max="2" width="9" bestFit="1" customWidth="1"/>
    <col min="3" max="3" width="18.5546875" bestFit="1" customWidth="1"/>
    <col min="4" max="4" width="7.44140625" bestFit="1" customWidth="1"/>
    <col min="5" max="6" width="10.5546875" bestFit="1" customWidth="1"/>
    <col min="7" max="7" width="12.88671875" bestFit="1" customWidth="1"/>
    <col min="8" max="8" width="7.88671875" bestFit="1" customWidth="1"/>
    <col min="9" max="9" width="8.88671875" bestFit="1" customWidth="1"/>
    <col min="11" max="11" width="15.77734375" bestFit="1" customWidth="1"/>
    <col min="12" max="13" width="23.109375" bestFit="1" customWidth="1"/>
  </cols>
  <sheetData>
    <row r="1" spans="1:12" x14ac:dyDescent="0.3">
      <c r="A1" s="18" t="s">
        <v>1</v>
      </c>
      <c r="B1" s="18" t="s">
        <v>2</v>
      </c>
      <c r="C1" s="18" t="s">
        <v>3</v>
      </c>
      <c r="D1" s="18" t="s">
        <v>4</v>
      </c>
      <c r="E1" s="18" t="s">
        <v>5</v>
      </c>
      <c r="F1" s="18" t="s">
        <v>6</v>
      </c>
      <c r="G1" s="18" t="s">
        <v>7</v>
      </c>
      <c r="H1" s="18" t="s">
        <v>8</v>
      </c>
      <c r="J1" s="33" t="s">
        <v>89</v>
      </c>
      <c r="K1" s="34" t="s">
        <v>99</v>
      </c>
      <c r="L1" s="35" t="s">
        <v>100</v>
      </c>
    </row>
    <row r="2" spans="1:12" x14ac:dyDescent="0.3">
      <c r="A2" s="10" t="s">
        <v>10</v>
      </c>
      <c r="B2" s="10" t="s">
        <v>11</v>
      </c>
      <c r="C2" s="10" t="s">
        <v>12</v>
      </c>
      <c r="D2" s="19">
        <v>1036.0899999999999</v>
      </c>
      <c r="E2" s="11">
        <v>4</v>
      </c>
      <c r="F2" s="12">
        <v>0.2</v>
      </c>
      <c r="G2" s="13">
        <v>45392</v>
      </c>
      <c r="H2" s="22">
        <v>331.55</v>
      </c>
      <c r="J2" s="31" t="s">
        <v>90</v>
      </c>
      <c r="K2" s="30">
        <f>SUM(D2:D20)</f>
        <v>19029.96</v>
      </c>
      <c r="L2" s="32">
        <f>(K3-K2)/K2</f>
        <v>-2.7463010957458799E-2</v>
      </c>
    </row>
    <row r="3" spans="1:12" x14ac:dyDescent="0.3">
      <c r="A3" s="2" t="s">
        <v>14</v>
      </c>
      <c r="B3" s="2" t="s">
        <v>11</v>
      </c>
      <c r="C3" s="2" t="s">
        <v>15</v>
      </c>
      <c r="D3" s="20">
        <v>1101.28</v>
      </c>
      <c r="E3" s="6">
        <v>3</v>
      </c>
      <c r="F3" s="8">
        <v>0.2</v>
      </c>
      <c r="G3" s="7">
        <v>45393</v>
      </c>
      <c r="H3" s="23">
        <v>440.51</v>
      </c>
      <c r="J3" s="31" t="s">
        <v>91</v>
      </c>
      <c r="K3" s="30">
        <f>SUM(D21:D41)</f>
        <v>18507.339999999997</v>
      </c>
      <c r="L3" s="32">
        <f t="shared" ref="L3:L10" si="0">(K4-K3)/K3</f>
        <v>9.0783980842195702E-2</v>
      </c>
    </row>
    <row r="4" spans="1:12" x14ac:dyDescent="0.3">
      <c r="A4" s="10" t="s">
        <v>17</v>
      </c>
      <c r="B4" s="10" t="s">
        <v>18</v>
      </c>
      <c r="C4" s="10" t="s">
        <v>12</v>
      </c>
      <c r="D4" s="19">
        <v>713.34</v>
      </c>
      <c r="E4" s="11">
        <v>17</v>
      </c>
      <c r="F4" s="12">
        <v>0</v>
      </c>
      <c r="G4" s="13">
        <v>45396</v>
      </c>
      <c r="H4" s="22">
        <v>285.33999999999997</v>
      </c>
      <c r="J4" s="31" t="s">
        <v>92</v>
      </c>
      <c r="K4" s="30">
        <f>SUM(D42:D61)</f>
        <v>20187.509999999998</v>
      </c>
      <c r="L4" s="32">
        <f t="shared" si="0"/>
        <v>-0.42493947990614001</v>
      </c>
    </row>
    <row r="5" spans="1:12" x14ac:dyDescent="0.3">
      <c r="A5" s="2" t="s">
        <v>14</v>
      </c>
      <c r="B5" s="2" t="s">
        <v>20</v>
      </c>
      <c r="C5" s="2" t="s">
        <v>21</v>
      </c>
      <c r="D5" s="20">
        <v>760.93</v>
      </c>
      <c r="E5" s="6">
        <v>4</v>
      </c>
      <c r="F5" s="8">
        <v>0.15</v>
      </c>
      <c r="G5" s="7">
        <v>45396</v>
      </c>
      <c r="H5" s="23">
        <v>161.69999999999999</v>
      </c>
      <c r="J5" s="31" t="s">
        <v>93</v>
      </c>
      <c r="K5" s="30">
        <f>SUM(D62:D73)</f>
        <v>11609.039999999999</v>
      </c>
      <c r="L5" s="32">
        <f t="shared" si="0"/>
        <v>-0.13070331396911375</v>
      </c>
    </row>
    <row r="6" spans="1:12" x14ac:dyDescent="0.3">
      <c r="A6" s="10" t="s">
        <v>23</v>
      </c>
      <c r="B6" s="10" t="s">
        <v>24</v>
      </c>
      <c r="C6" s="10" t="s">
        <v>12</v>
      </c>
      <c r="D6" s="19">
        <v>847</v>
      </c>
      <c r="E6" s="11">
        <v>12</v>
      </c>
      <c r="F6" s="12">
        <v>0.2</v>
      </c>
      <c r="G6" s="13">
        <v>45397</v>
      </c>
      <c r="H6" s="22">
        <v>271.04000000000002</v>
      </c>
      <c r="J6" s="31" t="s">
        <v>94</v>
      </c>
      <c r="K6" s="30">
        <f>SUM(D74:D83)</f>
        <v>10091.699999999999</v>
      </c>
      <c r="L6" s="32">
        <f t="shared" si="0"/>
        <v>1.0346918755016496</v>
      </c>
    </row>
    <row r="7" spans="1:12" x14ac:dyDescent="0.3">
      <c r="A7" s="2" t="s">
        <v>26</v>
      </c>
      <c r="B7" s="2" t="s">
        <v>24</v>
      </c>
      <c r="C7" s="2" t="s">
        <v>27</v>
      </c>
      <c r="D7" s="20">
        <v>965.64</v>
      </c>
      <c r="E7" s="6">
        <v>8</v>
      </c>
      <c r="F7" s="8">
        <v>0.1</v>
      </c>
      <c r="G7" s="7">
        <v>45398</v>
      </c>
      <c r="H7" s="23">
        <v>304.18</v>
      </c>
      <c r="J7" s="31" t="s">
        <v>95</v>
      </c>
      <c r="K7" s="30">
        <f>SUM(D84:D103)</f>
        <v>20533.499999999996</v>
      </c>
      <c r="L7" s="32">
        <f t="shared" si="0"/>
        <v>-0.30770496992719193</v>
      </c>
    </row>
    <row r="8" spans="1:12" x14ac:dyDescent="0.3">
      <c r="A8" s="10" t="s">
        <v>29</v>
      </c>
      <c r="B8" s="10" t="s">
        <v>11</v>
      </c>
      <c r="C8" s="10" t="s">
        <v>21</v>
      </c>
      <c r="D8" s="19">
        <v>1317.53</v>
      </c>
      <c r="E8" s="11">
        <v>12</v>
      </c>
      <c r="F8" s="12">
        <v>0.05</v>
      </c>
      <c r="G8" s="13">
        <v>45398</v>
      </c>
      <c r="H8" s="22">
        <v>312.91000000000003</v>
      </c>
      <c r="J8" s="31" t="s">
        <v>96</v>
      </c>
      <c r="K8" s="30">
        <f>SUM(D104:D117)</f>
        <v>14215.240000000002</v>
      </c>
      <c r="L8" s="32">
        <f t="shared" si="0"/>
        <v>0.4164396802305132</v>
      </c>
    </row>
    <row r="9" spans="1:12" x14ac:dyDescent="0.3">
      <c r="A9" s="2" t="s">
        <v>31</v>
      </c>
      <c r="B9" s="2" t="s">
        <v>18</v>
      </c>
      <c r="C9" s="2" t="s">
        <v>27</v>
      </c>
      <c r="D9" s="20">
        <v>1074.47</v>
      </c>
      <c r="E9" s="6">
        <v>6</v>
      </c>
      <c r="F9" s="8">
        <v>0.2</v>
      </c>
      <c r="G9" s="7">
        <v>45401</v>
      </c>
      <c r="H9" s="23">
        <v>300.85000000000002</v>
      </c>
      <c r="J9" s="31" t="s">
        <v>97</v>
      </c>
      <c r="K9" s="30">
        <f>SUM(D118:D137)</f>
        <v>20135.030000000002</v>
      </c>
      <c r="L9" s="32">
        <f t="shared" si="0"/>
        <v>-0.44772667336477773</v>
      </c>
    </row>
    <row r="10" spans="1:12" x14ac:dyDescent="0.3">
      <c r="A10" s="10" t="s">
        <v>33</v>
      </c>
      <c r="B10" s="10" t="s">
        <v>34</v>
      </c>
      <c r="C10" s="10" t="s">
        <v>12</v>
      </c>
      <c r="D10" s="19">
        <v>501.54</v>
      </c>
      <c r="E10" s="11">
        <v>11</v>
      </c>
      <c r="F10" s="12">
        <v>0.05</v>
      </c>
      <c r="G10" s="13">
        <v>45401</v>
      </c>
      <c r="H10" s="22">
        <v>190.59</v>
      </c>
      <c r="J10" s="36" t="s">
        <v>98</v>
      </c>
      <c r="K10" s="37">
        <f>SUM(D138:D148)</f>
        <v>11120.04</v>
      </c>
      <c r="L10" s="38">
        <f t="shared" si="0"/>
        <v>-1</v>
      </c>
    </row>
    <row r="11" spans="1:12" x14ac:dyDescent="0.3">
      <c r="A11" s="2" t="s">
        <v>36</v>
      </c>
      <c r="B11" s="2" t="s">
        <v>34</v>
      </c>
      <c r="C11" s="2" t="s">
        <v>15</v>
      </c>
      <c r="D11" s="20">
        <v>737.31</v>
      </c>
      <c r="E11" s="6">
        <v>2</v>
      </c>
      <c r="F11" s="8">
        <v>0.05</v>
      </c>
      <c r="G11" s="7">
        <v>45401</v>
      </c>
      <c r="H11" s="23">
        <v>350.22</v>
      </c>
      <c r="L11" s="25"/>
    </row>
    <row r="12" spans="1:12" x14ac:dyDescent="0.3">
      <c r="A12" s="10" t="s">
        <v>38</v>
      </c>
      <c r="B12" s="10" t="s">
        <v>11</v>
      </c>
      <c r="C12" s="10" t="s">
        <v>39</v>
      </c>
      <c r="D12" s="19">
        <v>1572.82</v>
      </c>
      <c r="E12" s="11">
        <v>6</v>
      </c>
      <c r="F12" s="12">
        <v>0.05</v>
      </c>
      <c r="G12" s="13">
        <v>45402</v>
      </c>
      <c r="H12" s="22">
        <v>672.38</v>
      </c>
    </row>
    <row r="13" spans="1:12" x14ac:dyDescent="0.3">
      <c r="A13" s="2" t="s">
        <v>36</v>
      </c>
      <c r="B13" s="2" t="s">
        <v>34</v>
      </c>
      <c r="C13" s="2" t="s">
        <v>12</v>
      </c>
      <c r="D13" s="20">
        <v>1343.13</v>
      </c>
      <c r="E13" s="6">
        <v>14</v>
      </c>
      <c r="F13" s="8">
        <v>0.15</v>
      </c>
      <c r="G13" s="7">
        <v>45404</v>
      </c>
      <c r="H13" s="23">
        <v>456.66</v>
      </c>
    </row>
    <row r="14" spans="1:12" x14ac:dyDescent="0.3">
      <c r="A14" s="10" t="s">
        <v>26</v>
      </c>
      <c r="B14" s="10" t="s">
        <v>34</v>
      </c>
      <c r="C14" s="10" t="s">
        <v>12</v>
      </c>
      <c r="D14" s="19">
        <v>1191.58</v>
      </c>
      <c r="E14" s="11">
        <v>14</v>
      </c>
      <c r="F14" s="12">
        <v>0.05</v>
      </c>
      <c r="G14" s="13">
        <v>45406</v>
      </c>
      <c r="H14" s="22">
        <v>452.8</v>
      </c>
    </row>
    <row r="15" spans="1:12" x14ac:dyDescent="0.3">
      <c r="A15" s="2" t="s">
        <v>14</v>
      </c>
      <c r="B15" s="2" t="s">
        <v>11</v>
      </c>
      <c r="C15" s="2" t="s">
        <v>27</v>
      </c>
      <c r="D15" s="20">
        <v>822.28</v>
      </c>
      <c r="E15" s="6">
        <v>7</v>
      </c>
      <c r="F15" s="8">
        <v>0.05</v>
      </c>
      <c r="G15" s="7">
        <v>45406</v>
      </c>
      <c r="H15" s="23">
        <v>273.41000000000003</v>
      </c>
    </row>
    <row r="16" spans="1:12" x14ac:dyDescent="0.3">
      <c r="A16" s="10" t="s">
        <v>42</v>
      </c>
      <c r="B16" s="10" t="s">
        <v>24</v>
      </c>
      <c r="C16" s="10" t="s">
        <v>27</v>
      </c>
      <c r="D16" s="19">
        <v>521.66999999999996</v>
      </c>
      <c r="E16" s="11">
        <v>15</v>
      </c>
      <c r="F16" s="12">
        <v>0.15</v>
      </c>
      <c r="G16" s="13">
        <v>45409</v>
      </c>
      <c r="H16" s="22">
        <v>155.19999999999999</v>
      </c>
    </row>
    <row r="17" spans="1:8" x14ac:dyDescent="0.3">
      <c r="A17" s="2" t="s">
        <v>43</v>
      </c>
      <c r="B17" s="2" t="s">
        <v>20</v>
      </c>
      <c r="C17" s="2" t="s">
        <v>21</v>
      </c>
      <c r="D17" s="20">
        <v>1502.93</v>
      </c>
      <c r="E17" s="6">
        <v>14</v>
      </c>
      <c r="F17" s="8">
        <v>0.2</v>
      </c>
      <c r="G17" s="7">
        <v>45410</v>
      </c>
      <c r="H17" s="23">
        <v>300.58999999999997</v>
      </c>
    </row>
    <row r="18" spans="1:8" x14ac:dyDescent="0.3">
      <c r="A18" s="10" t="s">
        <v>14</v>
      </c>
      <c r="B18" s="10" t="s">
        <v>20</v>
      </c>
      <c r="C18" s="10" t="s">
        <v>12</v>
      </c>
      <c r="D18" s="19">
        <v>877.58</v>
      </c>
      <c r="E18" s="11">
        <v>10</v>
      </c>
      <c r="F18" s="12">
        <v>0.15</v>
      </c>
      <c r="G18" s="13">
        <v>45411</v>
      </c>
      <c r="H18" s="22">
        <v>298.38</v>
      </c>
    </row>
    <row r="19" spans="1:8" x14ac:dyDescent="0.3">
      <c r="A19" s="2" t="s">
        <v>45</v>
      </c>
      <c r="B19" s="2" t="s">
        <v>11</v>
      </c>
      <c r="C19" s="2" t="s">
        <v>12</v>
      </c>
      <c r="D19" s="20">
        <v>636.70000000000005</v>
      </c>
      <c r="E19" s="6">
        <v>4</v>
      </c>
      <c r="F19" s="8">
        <v>0.2</v>
      </c>
      <c r="G19" s="7">
        <v>45411</v>
      </c>
      <c r="H19" s="23">
        <v>203.74</v>
      </c>
    </row>
    <row r="20" spans="1:8" x14ac:dyDescent="0.3">
      <c r="A20" s="10" t="s">
        <v>47</v>
      </c>
      <c r="B20" s="10" t="s">
        <v>11</v>
      </c>
      <c r="C20" s="10" t="s">
        <v>12</v>
      </c>
      <c r="D20" s="19">
        <v>1506.14</v>
      </c>
      <c r="E20" s="11">
        <v>13</v>
      </c>
      <c r="F20" s="12">
        <v>0.2</v>
      </c>
      <c r="G20" s="13">
        <v>45412</v>
      </c>
      <c r="H20" s="22">
        <v>481.96</v>
      </c>
    </row>
    <row r="21" spans="1:8" x14ac:dyDescent="0.3">
      <c r="A21" s="2" t="s">
        <v>31</v>
      </c>
      <c r="B21" s="2" t="s">
        <v>34</v>
      </c>
      <c r="C21" s="2" t="s">
        <v>21</v>
      </c>
      <c r="D21" s="20">
        <v>645.02</v>
      </c>
      <c r="E21" s="6">
        <v>4</v>
      </c>
      <c r="F21" s="8">
        <v>0</v>
      </c>
      <c r="G21" s="7">
        <v>45414</v>
      </c>
      <c r="H21" s="23">
        <v>161.26</v>
      </c>
    </row>
    <row r="22" spans="1:8" x14ac:dyDescent="0.3">
      <c r="A22" s="10" t="s">
        <v>48</v>
      </c>
      <c r="B22" s="10" t="s">
        <v>20</v>
      </c>
      <c r="C22" s="10" t="s">
        <v>15</v>
      </c>
      <c r="D22" s="19">
        <v>953.3</v>
      </c>
      <c r="E22" s="11">
        <v>11</v>
      </c>
      <c r="F22" s="12">
        <v>0</v>
      </c>
      <c r="G22" s="13">
        <v>45415</v>
      </c>
      <c r="H22" s="22">
        <v>476.65</v>
      </c>
    </row>
    <row r="23" spans="1:8" x14ac:dyDescent="0.3">
      <c r="A23" s="2" t="s">
        <v>14</v>
      </c>
      <c r="B23" s="2" t="s">
        <v>24</v>
      </c>
      <c r="C23" s="2" t="s">
        <v>21</v>
      </c>
      <c r="D23" s="20">
        <v>388.56</v>
      </c>
      <c r="E23" s="6">
        <v>14</v>
      </c>
      <c r="F23" s="8">
        <v>0.15</v>
      </c>
      <c r="G23" s="7">
        <v>45416</v>
      </c>
      <c r="H23" s="23">
        <v>82.57</v>
      </c>
    </row>
    <row r="24" spans="1:8" x14ac:dyDescent="0.3">
      <c r="A24" s="10" t="s">
        <v>31</v>
      </c>
      <c r="B24" s="10" t="s">
        <v>11</v>
      </c>
      <c r="C24" s="10" t="s">
        <v>12</v>
      </c>
      <c r="D24" s="19">
        <v>743.17</v>
      </c>
      <c r="E24" s="11">
        <v>9</v>
      </c>
      <c r="F24" s="12">
        <v>0</v>
      </c>
      <c r="G24" s="13">
        <v>45416</v>
      </c>
      <c r="H24" s="22">
        <v>297.27</v>
      </c>
    </row>
    <row r="25" spans="1:8" x14ac:dyDescent="0.3">
      <c r="A25" s="2" t="s">
        <v>31</v>
      </c>
      <c r="B25" s="2" t="s">
        <v>34</v>
      </c>
      <c r="C25" s="2" t="s">
        <v>21</v>
      </c>
      <c r="D25" s="20">
        <v>706.37</v>
      </c>
      <c r="E25" s="6">
        <v>6</v>
      </c>
      <c r="F25" s="8">
        <v>0</v>
      </c>
      <c r="G25" s="7">
        <v>45416</v>
      </c>
      <c r="H25" s="23">
        <v>176.59</v>
      </c>
    </row>
    <row r="26" spans="1:8" x14ac:dyDescent="0.3">
      <c r="A26" s="10" t="s">
        <v>31</v>
      </c>
      <c r="B26" s="10" t="s">
        <v>34</v>
      </c>
      <c r="C26" s="10" t="s">
        <v>39</v>
      </c>
      <c r="D26" s="19">
        <v>925.31</v>
      </c>
      <c r="E26" s="11">
        <v>8</v>
      </c>
      <c r="F26" s="12">
        <v>0.1</v>
      </c>
      <c r="G26" s="13">
        <v>45418</v>
      </c>
      <c r="H26" s="22">
        <v>374.75</v>
      </c>
    </row>
    <row r="27" spans="1:8" x14ac:dyDescent="0.3">
      <c r="A27" s="2" t="s">
        <v>50</v>
      </c>
      <c r="B27" s="2" t="s">
        <v>20</v>
      </c>
      <c r="C27" s="2" t="s">
        <v>21</v>
      </c>
      <c r="D27" s="20">
        <v>1173.1199999999999</v>
      </c>
      <c r="E27" s="6">
        <v>18</v>
      </c>
      <c r="F27" s="8">
        <v>0</v>
      </c>
      <c r="G27" s="7">
        <v>45418</v>
      </c>
      <c r="H27" s="23">
        <v>293.27999999999997</v>
      </c>
    </row>
    <row r="28" spans="1:8" x14ac:dyDescent="0.3">
      <c r="A28" s="10" t="s">
        <v>51</v>
      </c>
      <c r="B28" s="10" t="s">
        <v>24</v>
      </c>
      <c r="C28" s="10" t="s">
        <v>27</v>
      </c>
      <c r="D28" s="19">
        <v>675.54</v>
      </c>
      <c r="E28" s="11">
        <v>17</v>
      </c>
      <c r="F28" s="12">
        <v>0</v>
      </c>
      <c r="G28" s="13">
        <v>45420</v>
      </c>
      <c r="H28" s="22">
        <v>236.44</v>
      </c>
    </row>
    <row r="29" spans="1:8" x14ac:dyDescent="0.3">
      <c r="A29" s="2" t="s">
        <v>14</v>
      </c>
      <c r="B29" s="2" t="s">
        <v>34</v>
      </c>
      <c r="C29" s="2" t="s">
        <v>12</v>
      </c>
      <c r="D29" s="20">
        <v>939.09</v>
      </c>
      <c r="E29" s="6">
        <v>2</v>
      </c>
      <c r="F29" s="8">
        <v>0.05</v>
      </c>
      <c r="G29" s="7">
        <v>45422</v>
      </c>
      <c r="H29" s="23">
        <v>356.85</v>
      </c>
    </row>
    <row r="30" spans="1:8" x14ac:dyDescent="0.3">
      <c r="A30" s="10" t="s">
        <v>53</v>
      </c>
      <c r="B30" s="10" t="s">
        <v>18</v>
      </c>
      <c r="C30" s="10" t="s">
        <v>39</v>
      </c>
      <c r="D30" s="19">
        <v>983.34</v>
      </c>
      <c r="E30" s="11">
        <v>19</v>
      </c>
      <c r="F30" s="12">
        <v>0.1</v>
      </c>
      <c r="G30" s="13">
        <v>45426</v>
      </c>
      <c r="H30" s="22">
        <v>398.25</v>
      </c>
    </row>
    <row r="31" spans="1:8" x14ac:dyDescent="0.3">
      <c r="A31" s="2" t="s">
        <v>23</v>
      </c>
      <c r="B31" s="2" t="s">
        <v>20</v>
      </c>
      <c r="C31" s="2" t="s">
        <v>21</v>
      </c>
      <c r="D31" s="20">
        <v>801.21</v>
      </c>
      <c r="E31" s="6">
        <v>3</v>
      </c>
      <c r="F31" s="8">
        <v>0.2</v>
      </c>
      <c r="G31" s="7">
        <v>45426</v>
      </c>
      <c r="H31" s="23">
        <v>160.24</v>
      </c>
    </row>
    <row r="32" spans="1:8" x14ac:dyDescent="0.3">
      <c r="A32" s="10" t="s">
        <v>55</v>
      </c>
      <c r="B32" s="10" t="s">
        <v>24</v>
      </c>
      <c r="C32" s="10" t="s">
        <v>21</v>
      </c>
      <c r="D32" s="19">
        <v>1450.71</v>
      </c>
      <c r="E32" s="11">
        <v>5</v>
      </c>
      <c r="F32" s="12">
        <v>0.1</v>
      </c>
      <c r="G32" s="13">
        <v>45427</v>
      </c>
      <c r="H32" s="22">
        <v>326.41000000000003</v>
      </c>
    </row>
    <row r="33" spans="1:8" x14ac:dyDescent="0.3">
      <c r="A33" s="2" t="s">
        <v>56</v>
      </c>
      <c r="B33" s="2" t="s">
        <v>34</v>
      </c>
      <c r="C33" s="2" t="s">
        <v>12</v>
      </c>
      <c r="D33" s="20">
        <v>1023.21</v>
      </c>
      <c r="E33" s="6">
        <v>18</v>
      </c>
      <c r="F33" s="8">
        <v>0.05</v>
      </c>
      <c r="G33" s="7">
        <v>45428</v>
      </c>
      <c r="H33" s="23">
        <v>388.82</v>
      </c>
    </row>
    <row r="34" spans="1:8" x14ac:dyDescent="0.3">
      <c r="A34" s="10" t="s">
        <v>47</v>
      </c>
      <c r="B34" s="10" t="s">
        <v>11</v>
      </c>
      <c r="C34" s="10" t="s">
        <v>27</v>
      </c>
      <c r="D34" s="19">
        <v>853.72</v>
      </c>
      <c r="E34" s="11">
        <v>5</v>
      </c>
      <c r="F34" s="12">
        <v>0.15</v>
      </c>
      <c r="G34" s="13">
        <v>45428</v>
      </c>
      <c r="H34" s="22">
        <v>253.98</v>
      </c>
    </row>
    <row r="35" spans="1:8" x14ac:dyDescent="0.3">
      <c r="A35" s="2" t="s">
        <v>43</v>
      </c>
      <c r="B35" s="2" t="s">
        <v>20</v>
      </c>
      <c r="C35" s="2" t="s">
        <v>21</v>
      </c>
      <c r="D35" s="20">
        <v>967.89</v>
      </c>
      <c r="E35" s="6">
        <v>10</v>
      </c>
      <c r="F35" s="8">
        <v>0.1</v>
      </c>
      <c r="G35" s="7">
        <v>45429</v>
      </c>
      <c r="H35" s="23">
        <v>217.78</v>
      </c>
    </row>
    <row r="36" spans="1:8" x14ac:dyDescent="0.3">
      <c r="A36" s="10" t="s">
        <v>53</v>
      </c>
      <c r="B36" s="10" t="s">
        <v>24</v>
      </c>
      <c r="C36" s="10" t="s">
        <v>39</v>
      </c>
      <c r="D36" s="19">
        <v>1200.9000000000001</v>
      </c>
      <c r="E36" s="11">
        <v>14</v>
      </c>
      <c r="F36" s="12">
        <v>0.05</v>
      </c>
      <c r="G36" s="13">
        <v>45429</v>
      </c>
      <c r="H36" s="22">
        <v>513.38</v>
      </c>
    </row>
    <row r="37" spans="1:8" x14ac:dyDescent="0.3">
      <c r="A37" s="2" t="s">
        <v>26</v>
      </c>
      <c r="B37" s="2" t="s">
        <v>11</v>
      </c>
      <c r="C37" s="2" t="s">
        <v>12</v>
      </c>
      <c r="D37" s="20">
        <v>472.38</v>
      </c>
      <c r="E37" s="6">
        <v>12</v>
      </c>
      <c r="F37" s="8">
        <v>0.2</v>
      </c>
      <c r="G37" s="7">
        <v>45429</v>
      </c>
      <c r="H37" s="23">
        <v>151.16</v>
      </c>
    </row>
    <row r="38" spans="1:8" x14ac:dyDescent="0.3">
      <c r="A38" s="10" t="s">
        <v>55</v>
      </c>
      <c r="B38" s="10" t="s">
        <v>18</v>
      </c>
      <c r="C38" s="10" t="s">
        <v>39</v>
      </c>
      <c r="D38" s="19">
        <v>840.92</v>
      </c>
      <c r="E38" s="11">
        <v>9</v>
      </c>
      <c r="F38" s="12">
        <v>0.05</v>
      </c>
      <c r="G38" s="13">
        <v>45429</v>
      </c>
      <c r="H38" s="22">
        <v>359.49</v>
      </c>
    </row>
    <row r="39" spans="1:8" x14ac:dyDescent="0.3">
      <c r="A39" s="2" t="s">
        <v>48</v>
      </c>
      <c r="B39" s="2" t="s">
        <v>34</v>
      </c>
      <c r="C39" s="2" t="s">
        <v>27</v>
      </c>
      <c r="D39" s="20">
        <v>1410.06</v>
      </c>
      <c r="E39" s="6">
        <v>11</v>
      </c>
      <c r="F39" s="8">
        <v>0.05</v>
      </c>
      <c r="G39" s="7">
        <v>45434</v>
      </c>
      <c r="H39" s="23">
        <v>468.84</v>
      </c>
    </row>
    <row r="40" spans="1:8" x14ac:dyDescent="0.3">
      <c r="A40" s="10" t="s">
        <v>59</v>
      </c>
      <c r="B40" s="10" t="s">
        <v>34</v>
      </c>
      <c r="C40" s="10" t="s">
        <v>27</v>
      </c>
      <c r="D40" s="19">
        <v>773.09</v>
      </c>
      <c r="E40" s="11">
        <v>13</v>
      </c>
      <c r="F40" s="12">
        <v>0.15</v>
      </c>
      <c r="G40" s="13">
        <v>45434</v>
      </c>
      <c r="H40" s="22">
        <v>229.99</v>
      </c>
    </row>
    <row r="41" spans="1:8" x14ac:dyDescent="0.3">
      <c r="A41" s="2" t="s">
        <v>61</v>
      </c>
      <c r="B41" s="2" t="s">
        <v>18</v>
      </c>
      <c r="C41" s="2" t="s">
        <v>12</v>
      </c>
      <c r="D41" s="20">
        <v>580.42999999999995</v>
      </c>
      <c r="E41" s="6">
        <v>19</v>
      </c>
      <c r="F41" s="8">
        <v>0.15</v>
      </c>
      <c r="G41" s="7">
        <v>45435</v>
      </c>
      <c r="H41" s="23">
        <v>197.35</v>
      </c>
    </row>
    <row r="42" spans="1:8" x14ac:dyDescent="0.3">
      <c r="A42" s="10" t="s">
        <v>42</v>
      </c>
      <c r="B42" s="10" t="s">
        <v>20</v>
      </c>
      <c r="C42" s="10" t="s">
        <v>12</v>
      </c>
      <c r="D42" s="19">
        <v>1151.21</v>
      </c>
      <c r="E42" s="11">
        <v>15</v>
      </c>
      <c r="F42" s="12">
        <v>0.1</v>
      </c>
      <c r="G42" s="13">
        <v>45445</v>
      </c>
      <c r="H42" s="22">
        <v>414.44</v>
      </c>
    </row>
    <row r="43" spans="1:8" x14ac:dyDescent="0.3">
      <c r="A43" s="2" t="s">
        <v>23</v>
      </c>
      <c r="B43" s="2" t="s">
        <v>34</v>
      </c>
      <c r="C43" s="2" t="s">
        <v>39</v>
      </c>
      <c r="D43" s="20">
        <v>1025.98</v>
      </c>
      <c r="E43" s="6">
        <v>5</v>
      </c>
      <c r="F43" s="8">
        <v>0.2</v>
      </c>
      <c r="G43" s="7">
        <v>45447</v>
      </c>
      <c r="H43" s="23">
        <v>369.35</v>
      </c>
    </row>
    <row r="44" spans="1:8" x14ac:dyDescent="0.3">
      <c r="A44" s="10" t="s">
        <v>56</v>
      </c>
      <c r="B44" s="10" t="s">
        <v>18</v>
      </c>
      <c r="C44" s="10" t="s">
        <v>39</v>
      </c>
      <c r="D44" s="19">
        <v>556.41999999999996</v>
      </c>
      <c r="E44" s="11">
        <v>11</v>
      </c>
      <c r="F44" s="12">
        <v>0.15</v>
      </c>
      <c r="G44" s="13">
        <v>45447</v>
      </c>
      <c r="H44" s="22">
        <v>212.83</v>
      </c>
    </row>
    <row r="45" spans="1:8" x14ac:dyDescent="0.3">
      <c r="A45" s="2" t="s">
        <v>23</v>
      </c>
      <c r="B45" s="2" t="s">
        <v>34</v>
      </c>
      <c r="C45" s="2" t="s">
        <v>12</v>
      </c>
      <c r="D45" s="20">
        <v>840.85</v>
      </c>
      <c r="E45" s="6">
        <v>19</v>
      </c>
      <c r="F45" s="8">
        <v>0.1</v>
      </c>
      <c r="G45" s="7">
        <v>45448</v>
      </c>
      <c r="H45" s="23">
        <v>302.70999999999998</v>
      </c>
    </row>
    <row r="46" spans="1:8" x14ac:dyDescent="0.3">
      <c r="A46" s="10" t="s">
        <v>61</v>
      </c>
      <c r="B46" s="10" t="s">
        <v>24</v>
      </c>
      <c r="C46" s="10" t="s">
        <v>27</v>
      </c>
      <c r="D46" s="19">
        <v>1227.25</v>
      </c>
      <c r="E46" s="11">
        <v>12</v>
      </c>
      <c r="F46" s="12">
        <v>0.15</v>
      </c>
      <c r="G46" s="13">
        <v>45448</v>
      </c>
      <c r="H46" s="22">
        <v>365.11</v>
      </c>
    </row>
    <row r="47" spans="1:8" x14ac:dyDescent="0.3">
      <c r="A47" s="2" t="s">
        <v>62</v>
      </c>
      <c r="B47" s="2" t="s">
        <v>34</v>
      </c>
      <c r="C47" s="2" t="s">
        <v>21</v>
      </c>
      <c r="D47" s="20">
        <v>856.7</v>
      </c>
      <c r="E47" s="6">
        <v>2</v>
      </c>
      <c r="F47" s="8">
        <v>0</v>
      </c>
      <c r="G47" s="7">
        <v>45449</v>
      </c>
      <c r="H47" s="23">
        <v>214.18</v>
      </c>
    </row>
    <row r="48" spans="1:8" x14ac:dyDescent="0.3">
      <c r="A48" s="10" t="s">
        <v>56</v>
      </c>
      <c r="B48" s="10" t="s">
        <v>34</v>
      </c>
      <c r="C48" s="10" t="s">
        <v>39</v>
      </c>
      <c r="D48" s="19">
        <v>1225.42</v>
      </c>
      <c r="E48" s="11">
        <v>8</v>
      </c>
      <c r="F48" s="12">
        <v>0.15</v>
      </c>
      <c r="G48" s="13">
        <v>45449</v>
      </c>
      <c r="H48" s="22">
        <v>468.72</v>
      </c>
    </row>
    <row r="49" spans="1:8" x14ac:dyDescent="0.3">
      <c r="A49" s="2" t="s">
        <v>31</v>
      </c>
      <c r="B49" s="2" t="s">
        <v>24</v>
      </c>
      <c r="C49" s="2" t="s">
        <v>39</v>
      </c>
      <c r="D49" s="20">
        <v>1001.57</v>
      </c>
      <c r="E49" s="6">
        <v>12</v>
      </c>
      <c r="F49" s="8">
        <v>0</v>
      </c>
      <c r="G49" s="7">
        <v>45450</v>
      </c>
      <c r="H49" s="23">
        <v>450.71</v>
      </c>
    </row>
    <row r="50" spans="1:8" x14ac:dyDescent="0.3">
      <c r="A50" s="10" t="s">
        <v>26</v>
      </c>
      <c r="B50" s="10" t="s">
        <v>18</v>
      </c>
      <c r="C50" s="10" t="s">
        <v>27</v>
      </c>
      <c r="D50" s="19">
        <v>1186.8499999999999</v>
      </c>
      <c r="E50" s="11">
        <v>19</v>
      </c>
      <c r="F50" s="12">
        <v>0.2</v>
      </c>
      <c r="G50" s="13">
        <v>45451</v>
      </c>
      <c r="H50" s="22">
        <v>332.32</v>
      </c>
    </row>
    <row r="51" spans="1:8" x14ac:dyDescent="0.3">
      <c r="A51" s="2" t="s">
        <v>51</v>
      </c>
      <c r="B51" s="2" t="s">
        <v>20</v>
      </c>
      <c r="C51" s="2" t="s">
        <v>21</v>
      </c>
      <c r="D51" s="20">
        <v>775.45</v>
      </c>
      <c r="E51" s="6">
        <v>6</v>
      </c>
      <c r="F51" s="8">
        <v>0.1</v>
      </c>
      <c r="G51" s="7">
        <v>45457</v>
      </c>
      <c r="H51" s="23">
        <v>174.48</v>
      </c>
    </row>
    <row r="52" spans="1:8" x14ac:dyDescent="0.3">
      <c r="A52" s="10" t="s">
        <v>33</v>
      </c>
      <c r="B52" s="10" t="s">
        <v>20</v>
      </c>
      <c r="C52" s="10" t="s">
        <v>21</v>
      </c>
      <c r="D52" s="19">
        <v>1021.47</v>
      </c>
      <c r="E52" s="11">
        <v>6</v>
      </c>
      <c r="F52" s="12">
        <v>0.05</v>
      </c>
      <c r="G52" s="13">
        <v>45461</v>
      </c>
      <c r="H52" s="22">
        <v>242.6</v>
      </c>
    </row>
    <row r="53" spans="1:8" x14ac:dyDescent="0.3">
      <c r="A53" s="2" t="s">
        <v>23</v>
      </c>
      <c r="B53" s="2" t="s">
        <v>20</v>
      </c>
      <c r="C53" s="2" t="s">
        <v>15</v>
      </c>
      <c r="D53" s="20">
        <v>1226.6199999999999</v>
      </c>
      <c r="E53" s="6">
        <v>7</v>
      </c>
      <c r="F53" s="8">
        <v>0.1</v>
      </c>
      <c r="G53" s="7">
        <v>45463</v>
      </c>
      <c r="H53" s="23">
        <v>551.98</v>
      </c>
    </row>
    <row r="54" spans="1:8" x14ac:dyDescent="0.3">
      <c r="A54" s="10" t="s">
        <v>64</v>
      </c>
      <c r="B54" s="10" t="s">
        <v>20</v>
      </c>
      <c r="C54" s="10" t="s">
        <v>27</v>
      </c>
      <c r="D54" s="19">
        <v>1086.93</v>
      </c>
      <c r="E54" s="11">
        <v>2</v>
      </c>
      <c r="F54" s="12">
        <v>0</v>
      </c>
      <c r="G54" s="13">
        <v>45464</v>
      </c>
      <c r="H54" s="22">
        <v>380.43</v>
      </c>
    </row>
    <row r="55" spans="1:8" x14ac:dyDescent="0.3">
      <c r="A55" s="2" t="s">
        <v>48</v>
      </c>
      <c r="B55" s="2" t="s">
        <v>11</v>
      </c>
      <c r="C55" s="2" t="s">
        <v>12</v>
      </c>
      <c r="D55" s="20">
        <v>942.9</v>
      </c>
      <c r="E55" s="6">
        <v>18</v>
      </c>
      <c r="F55" s="8">
        <v>0.1</v>
      </c>
      <c r="G55" s="7">
        <v>45466</v>
      </c>
      <c r="H55" s="23">
        <v>339.44</v>
      </c>
    </row>
    <row r="56" spans="1:8" x14ac:dyDescent="0.3">
      <c r="A56" s="10" t="s">
        <v>38</v>
      </c>
      <c r="B56" s="10" t="s">
        <v>24</v>
      </c>
      <c r="C56" s="10" t="s">
        <v>21</v>
      </c>
      <c r="D56" s="19">
        <v>818.8</v>
      </c>
      <c r="E56" s="11">
        <v>15</v>
      </c>
      <c r="F56" s="12">
        <v>0.15</v>
      </c>
      <c r="G56" s="13">
        <v>45468</v>
      </c>
      <c r="H56" s="22">
        <v>173.99</v>
      </c>
    </row>
    <row r="57" spans="1:8" x14ac:dyDescent="0.3">
      <c r="A57" s="2" t="s">
        <v>14</v>
      </c>
      <c r="B57" s="2" t="s">
        <v>20</v>
      </c>
      <c r="C57" s="2" t="s">
        <v>27</v>
      </c>
      <c r="D57" s="20">
        <v>919.04</v>
      </c>
      <c r="E57" s="6">
        <v>10</v>
      </c>
      <c r="F57" s="8">
        <v>0.2</v>
      </c>
      <c r="G57" s="7">
        <v>45468</v>
      </c>
      <c r="H57" s="23">
        <v>257.33</v>
      </c>
    </row>
    <row r="58" spans="1:8" x14ac:dyDescent="0.3">
      <c r="A58" s="10" t="s">
        <v>66</v>
      </c>
      <c r="B58" s="10" t="s">
        <v>34</v>
      </c>
      <c r="C58" s="10" t="s">
        <v>12</v>
      </c>
      <c r="D58" s="19">
        <v>973.26</v>
      </c>
      <c r="E58" s="11">
        <v>11</v>
      </c>
      <c r="F58" s="12">
        <v>0</v>
      </c>
      <c r="G58" s="13">
        <v>45470</v>
      </c>
      <c r="H58" s="22">
        <v>389.3</v>
      </c>
    </row>
    <row r="59" spans="1:8" x14ac:dyDescent="0.3">
      <c r="A59" s="2" t="s">
        <v>64</v>
      </c>
      <c r="B59" s="2" t="s">
        <v>24</v>
      </c>
      <c r="C59" s="2" t="s">
        <v>21</v>
      </c>
      <c r="D59" s="20">
        <v>741.61</v>
      </c>
      <c r="E59" s="6">
        <v>1</v>
      </c>
      <c r="F59" s="8">
        <v>0.2</v>
      </c>
      <c r="G59" s="7">
        <v>45471</v>
      </c>
      <c r="H59" s="23">
        <v>148.32</v>
      </c>
    </row>
    <row r="60" spans="1:8" x14ac:dyDescent="0.3">
      <c r="A60" s="10" t="s">
        <v>38</v>
      </c>
      <c r="B60" s="10" t="s">
        <v>24</v>
      </c>
      <c r="C60" s="10" t="s">
        <v>12</v>
      </c>
      <c r="D60" s="19">
        <v>1248.82</v>
      </c>
      <c r="E60" s="11">
        <v>2</v>
      </c>
      <c r="F60" s="12">
        <v>0.1</v>
      </c>
      <c r="G60" s="13">
        <v>45473</v>
      </c>
      <c r="H60" s="22">
        <v>449.58</v>
      </c>
    </row>
    <row r="61" spans="1:8" x14ac:dyDescent="0.3">
      <c r="A61" s="2" t="s">
        <v>59</v>
      </c>
      <c r="B61" s="2" t="s">
        <v>11</v>
      </c>
      <c r="C61" s="2" t="s">
        <v>15</v>
      </c>
      <c r="D61" s="20">
        <v>1360.36</v>
      </c>
      <c r="E61" s="6">
        <v>17</v>
      </c>
      <c r="F61" s="8">
        <v>0</v>
      </c>
      <c r="G61" s="7">
        <v>45473</v>
      </c>
      <c r="H61" s="23">
        <v>680.18</v>
      </c>
    </row>
    <row r="62" spans="1:8" x14ac:dyDescent="0.3">
      <c r="A62" s="10" t="s">
        <v>31</v>
      </c>
      <c r="B62" s="10" t="s">
        <v>18</v>
      </c>
      <c r="C62" s="10" t="s">
        <v>12</v>
      </c>
      <c r="D62" s="19">
        <v>1383.3</v>
      </c>
      <c r="E62" s="11">
        <v>8</v>
      </c>
      <c r="F62" s="12">
        <v>0.1</v>
      </c>
      <c r="G62" s="13">
        <v>45478</v>
      </c>
      <c r="H62" s="22">
        <v>497.99</v>
      </c>
    </row>
    <row r="63" spans="1:8" x14ac:dyDescent="0.3">
      <c r="A63" s="2" t="s">
        <v>55</v>
      </c>
      <c r="B63" s="2" t="s">
        <v>34</v>
      </c>
      <c r="C63" s="2" t="s">
        <v>39</v>
      </c>
      <c r="D63" s="20">
        <v>488.99</v>
      </c>
      <c r="E63" s="6">
        <v>9</v>
      </c>
      <c r="F63" s="8">
        <v>0</v>
      </c>
      <c r="G63" s="7">
        <v>45479</v>
      </c>
      <c r="H63" s="23">
        <v>220.05</v>
      </c>
    </row>
    <row r="64" spans="1:8" x14ac:dyDescent="0.3">
      <c r="A64" s="10" t="s">
        <v>31</v>
      </c>
      <c r="B64" s="10" t="s">
        <v>18</v>
      </c>
      <c r="C64" s="10" t="s">
        <v>27</v>
      </c>
      <c r="D64" s="19">
        <v>933.71</v>
      </c>
      <c r="E64" s="11">
        <v>17</v>
      </c>
      <c r="F64" s="12">
        <v>0.1</v>
      </c>
      <c r="G64" s="13">
        <v>45481</v>
      </c>
      <c r="H64" s="22">
        <v>294.12</v>
      </c>
    </row>
    <row r="65" spans="1:8" x14ac:dyDescent="0.3">
      <c r="A65" s="2" t="s">
        <v>10</v>
      </c>
      <c r="B65" s="2" t="s">
        <v>11</v>
      </c>
      <c r="C65" s="2" t="s">
        <v>21</v>
      </c>
      <c r="D65" s="20">
        <v>1005.53</v>
      </c>
      <c r="E65" s="6">
        <v>17</v>
      </c>
      <c r="F65" s="8">
        <v>0.2</v>
      </c>
      <c r="G65" s="7">
        <v>45481</v>
      </c>
      <c r="H65" s="23">
        <v>201.11</v>
      </c>
    </row>
    <row r="66" spans="1:8" x14ac:dyDescent="0.3">
      <c r="A66" s="10" t="s">
        <v>61</v>
      </c>
      <c r="B66" s="10" t="s">
        <v>20</v>
      </c>
      <c r="C66" s="10" t="s">
        <v>21</v>
      </c>
      <c r="D66" s="19">
        <v>1100.0999999999999</v>
      </c>
      <c r="E66" s="11">
        <v>5</v>
      </c>
      <c r="F66" s="12">
        <v>0.05</v>
      </c>
      <c r="G66" s="13">
        <v>45482</v>
      </c>
      <c r="H66" s="22">
        <v>261.27</v>
      </c>
    </row>
    <row r="67" spans="1:8" x14ac:dyDescent="0.3">
      <c r="A67" s="2" t="s">
        <v>23</v>
      </c>
      <c r="B67" s="2" t="s">
        <v>24</v>
      </c>
      <c r="C67" s="2" t="s">
        <v>27</v>
      </c>
      <c r="D67" s="20">
        <v>1034.7</v>
      </c>
      <c r="E67" s="6">
        <v>15</v>
      </c>
      <c r="F67" s="8">
        <v>0.15</v>
      </c>
      <c r="G67" s="7">
        <v>45487</v>
      </c>
      <c r="H67" s="23">
        <v>307.82</v>
      </c>
    </row>
    <row r="68" spans="1:8" x14ac:dyDescent="0.3">
      <c r="A68" s="10" t="s">
        <v>31</v>
      </c>
      <c r="B68" s="10" t="s">
        <v>20</v>
      </c>
      <c r="C68" s="10" t="s">
        <v>12</v>
      </c>
      <c r="D68" s="19">
        <v>876.44</v>
      </c>
      <c r="E68" s="11">
        <v>12</v>
      </c>
      <c r="F68" s="12">
        <v>0.05</v>
      </c>
      <c r="G68" s="13">
        <v>45488</v>
      </c>
      <c r="H68" s="22">
        <v>333.05</v>
      </c>
    </row>
    <row r="69" spans="1:8" x14ac:dyDescent="0.3">
      <c r="A69" s="2" t="s">
        <v>55</v>
      </c>
      <c r="B69" s="2" t="s">
        <v>11</v>
      </c>
      <c r="C69" s="2" t="s">
        <v>27</v>
      </c>
      <c r="D69" s="20">
        <v>1371.34</v>
      </c>
      <c r="E69" s="6">
        <v>5</v>
      </c>
      <c r="F69" s="8">
        <v>0.05</v>
      </c>
      <c r="G69" s="7">
        <v>45488</v>
      </c>
      <c r="H69" s="23">
        <v>455.97</v>
      </c>
    </row>
    <row r="70" spans="1:8" x14ac:dyDescent="0.3">
      <c r="A70" s="10" t="s">
        <v>47</v>
      </c>
      <c r="B70" s="10" t="s">
        <v>24</v>
      </c>
      <c r="C70" s="10" t="s">
        <v>21</v>
      </c>
      <c r="D70" s="19">
        <v>1020.26</v>
      </c>
      <c r="E70" s="11">
        <v>11</v>
      </c>
      <c r="F70" s="12">
        <v>0.05</v>
      </c>
      <c r="G70" s="13">
        <v>45494</v>
      </c>
      <c r="H70" s="22">
        <v>242.31</v>
      </c>
    </row>
    <row r="71" spans="1:8" x14ac:dyDescent="0.3">
      <c r="A71" s="2" t="s">
        <v>10</v>
      </c>
      <c r="B71" s="2" t="s">
        <v>34</v>
      </c>
      <c r="C71" s="2" t="s">
        <v>39</v>
      </c>
      <c r="D71" s="20">
        <v>804.81</v>
      </c>
      <c r="E71" s="6">
        <v>1</v>
      </c>
      <c r="F71" s="8">
        <v>0.05</v>
      </c>
      <c r="G71" s="7">
        <v>45502</v>
      </c>
      <c r="H71" s="23">
        <v>344.06</v>
      </c>
    </row>
    <row r="72" spans="1:8" x14ac:dyDescent="0.3">
      <c r="A72" s="10" t="s">
        <v>55</v>
      </c>
      <c r="B72" s="10" t="s">
        <v>34</v>
      </c>
      <c r="C72" s="10" t="s">
        <v>21</v>
      </c>
      <c r="D72" s="19">
        <v>608.66</v>
      </c>
      <c r="E72" s="11">
        <v>1</v>
      </c>
      <c r="F72" s="12">
        <v>0.05</v>
      </c>
      <c r="G72" s="13">
        <v>45503</v>
      </c>
      <c r="H72" s="22">
        <v>144.56</v>
      </c>
    </row>
    <row r="73" spans="1:8" x14ac:dyDescent="0.3">
      <c r="A73" s="2" t="s">
        <v>69</v>
      </c>
      <c r="B73" s="2" t="s">
        <v>20</v>
      </c>
      <c r="C73" s="2" t="s">
        <v>39</v>
      </c>
      <c r="D73" s="20">
        <v>981.2</v>
      </c>
      <c r="E73" s="6">
        <v>19</v>
      </c>
      <c r="F73" s="8">
        <v>0</v>
      </c>
      <c r="G73" s="7">
        <v>45504</v>
      </c>
      <c r="H73" s="23">
        <v>441.54</v>
      </c>
    </row>
    <row r="74" spans="1:8" x14ac:dyDescent="0.3">
      <c r="A74" s="10" t="s">
        <v>55</v>
      </c>
      <c r="B74" s="10" t="s">
        <v>18</v>
      </c>
      <c r="C74" s="10" t="s">
        <v>21</v>
      </c>
      <c r="D74" s="19">
        <v>539.77</v>
      </c>
      <c r="E74" s="11">
        <v>10</v>
      </c>
      <c r="F74" s="12">
        <v>0.15</v>
      </c>
      <c r="G74" s="13">
        <v>45509</v>
      </c>
      <c r="H74" s="22">
        <v>114.7</v>
      </c>
    </row>
    <row r="75" spans="1:8" x14ac:dyDescent="0.3">
      <c r="A75" s="2" t="s">
        <v>71</v>
      </c>
      <c r="B75" s="2" t="s">
        <v>20</v>
      </c>
      <c r="C75" s="2" t="s">
        <v>12</v>
      </c>
      <c r="D75" s="20">
        <v>804.45</v>
      </c>
      <c r="E75" s="6">
        <v>5</v>
      </c>
      <c r="F75" s="8">
        <v>0.2</v>
      </c>
      <c r="G75" s="7">
        <v>45509</v>
      </c>
      <c r="H75" s="23">
        <v>257.42</v>
      </c>
    </row>
    <row r="76" spans="1:8" x14ac:dyDescent="0.3">
      <c r="A76" s="10" t="s">
        <v>38</v>
      </c>
      <c r="B76" s="10" t="s">
        <v>11</v>
      </c>
      <c r="C76" s="10" t="s">
        <v>21</v>
      </c>
      <c r="D76" s="19">
        <v>1526.6</v>
      </c>
      <c r="E76" s="11">
        <v>13</v>
      </c>
      <c r="F76" s="12">
        <v>0.2</v>
      </c>
      <c r="G76" s="13">
        <v>45512</v>
      </c>
      <c r="H76" s="22">
        <v>305.32</v>
      </c>
    </row>
    <row r="77" spans="1:8" x14ac:dyDescent="0.3">
      <c r="A77" s="2" t="s">
        <v>29</v>
      </c>
      <c r="B77" s="2" t="s">
        <v>11</v>
      </c>
      <c r="C77" s="2" t="s">
        <v>21</v>
      </c>
      <c r="D77" s="20">
        <v>1215.26</v>
      </c>
      <c r="E77" s="6">
        <v>5</v>
      </c>
      <c r="F77" s="8">
        <v>0.15</v>
      </c>
      <c r="G77" s="7">
        <v>45513</v>
      </c>
      <c r="H77" s="23">
        <v>258.24</v>
      </c>
    </row>
    <row r="78" spans="1:8" x14ac:dyDescent="0.3">
      <c r="A78" s="10" t="s">
        <v>53</v>
      </c>
      <c r="B78" s="10" t="s">
        <v>34</v>
      </c>
      <c r="C78" s="10" t="s">
        <v>27</v>
      </c>
      <c r="D78" s="19">
        <v>1261.3399999999999</v>
      </c>
      <c r="E78" s="11">
        <v>3</v>
      </c>
      <c r="F78" s="12">
        <v>0</v>
      </c>
      <c r="G78" s="13">
        <v>45519</v>
      </c>
      <c r="H78" s="22">
        <v>441.47</v>
      </c>
    </row>
    <row r="79" spans="1:8" x14ac:dyDescent="0.3">
      <c r="A79" s="2" t="s">
        <v>45</v>
      </c>
      <c r="B79" s="2" t="s">
        <v>24</v>
      </c>
      <c r="C79" s="2" t="s">
        <v>27</v>
      </c>
      <c r="D79" s="20">
        <v>518.07000000000005</v>
      </c>
      <c r="E79" s="6">
        <v>7</v>
      </c>
      <c r="F79" s="8">
        <v>0.05</v>
      </c>
      <c r="G79" s="7">
        <v>45522</v>
      </c>
      <c r="H79" s="23">
        <v>172.26</v>
      </c>
    </row>
    <row r="80" spans="1:8" x14ac:dyDescent="0.3">
      <c r="A80" s="10" t="s">
        <v>29</v>
      </c>
      <c r="B80" s="10" t="s">
        <v>11</v>
      </c>
      <c r="C80" s="10" t="s">
        <v>39</v>
      </c>
      <c r="D80" s="19">
        <v>1111.3399999999999</v>
      </c>
      <c r="E80" s="11">
        <v>1</v>
      </c>
      <c r="F80" s="12">
        <v>0</v>
      </c>
      <c r="G80" s="13">
        <v>45523</v>
      </c>
      <c r="H80" s="22">
        <v>500.1</v>
      </c>
    </row>
    <row r="81" spans="1:8" x14ac:dyDescent="0.3">
      <c r="A81" s="2" t="s">
        <v>31</v>
      </c>
      <c r="B81" s="2" t="s">
        <v>18</v>
      </c>
      <c r="C81" s="2" t="s">
        <v>15</v>
      </c>
      <c r="D81" s="20">
        <v>1291.47</v>
      </c>
      <c r="E81" s="6">
        <v>18</v>
      </c>
      <c r="F81" s="8">
        <v>0.1</v>
      </c>
      <c r="G81" s="7">
        <v>45526</v>
      </c>
      <c r="H81" s="23">
        <v>581.16</v>
      </c>
    </row>
    <row r="82" spans="1:8" x14ac:dyDescent="0.3">
      <c r="A82" s="10" t="s">
        <v>55</v>
      </c>
      <c r="B82" s="10" t="s">
        <v>24</v>
      </c>
      <c r="C82" s="10" t="s">
        <v>12</v>
      </c>
      <c r="D82" s="19">
        <v>679.71</v>
      </c>
      <c r="E82" s="11">
        <v>19</v>
      </c>
      <c r="F82" s="12">
        <v>0</v>
      </c>
      <c r="G82" s="13">
        <v>45534</v>
      </c>
      <c r="H82" s="22">
        <v>271.88</v>
      </c>
    </row>
    <row r="83" spans="1:8" x14ac:dyDescent="0.3">
      <c r="A83" s="2" t="s">
        <v>33</v>
      </c>
      <c r="B83" s="2" t="s">
        <v>18</v>
      </c>
      <c r="C83" s="2" t="s">
        <v>27</v>
      </c>
      <c r="D83" s="20">
        <v>1143.69</v>
      </c>
      <c r="E83" s="6">
        <v>17</v>
      </c>
      <c r="F83" s="8">
        <v>0</v>
      </c>
      <c r="G83" s="7">
        <v>45534</v>
      </c>
      <c r="H83" s="23">
        <v>400.29</v>
      </c>
    </row>
    <row r="84" spans="1:8" x14ac:dyDescent="0.3">
      <c r="A84" s="10" t="s">
        <v>50</v>
      </c>
      <c r="B84" s="10" t="s">
        <v>34</v>
      </c>
      <c r="C84" s="10" t="s">
        <v>21</v>
      </c>
      <c r="D84" s="19">
        <v>790.08</v>
      </c>
      <c r="E84" s="11">
        <v>7</v>
      </c>
      <c r="F84" s="12">
        <v>0.1</v>
      </c>
      <c r="G84" s="13">
        <v>45536</v>
      </c>
      <c r="H84" s="22">
        <v>177.77</v>
      </c>
    </row>
    <row r="85" spans="1:8" x14ac:dyDescent="0.3">
      <c r="A85" s="2" t="s">
        <v>48</v>
      </c>
      <c r="B85" s="2" t="s">
        <v>34</v>
      </c>
      <c r="C85" s="2" t="s">
        <v>12</v>
      </c>
      <c r="D85" s="20">
        <v>1070.68</v>
      </c>
      <c r="E85" s="6">
        <v>7</v>
      </c>
      <c r="F85" s="8">
        <v>0.05</v>
      </c>
      <c r="G85" s="7">
        <v>45536</v>
      </c>
      <c r="H85" s="23">
        <v>406.86</v>
      </c>
    </row>
    <row r="86" spans="1:8" x14ac:dyDescent="0.3">
      <c r="A86" s="10" t="s">
        <v>36</v>
      </c>
      <c r="B86" s="10" t="s">
        <v>11</v>
      </c>
      <c r="C86" s="10" t="s">
        <v>15</v>
      </c>
      <c r="D86" s="19">
        <v>1168.8900000000001</v>
      </c>
      <c r="E86" s="11">
        <v>4</v>
      </c>
      <c r="F86" s="12">
        <v>0.1</v>
      </c>
      <c r="G86" s="13">
        <v>45544</v>
      </c>
      <c r="H86" s="22">
        <v>526</v>
      </c>
    </row>
    <row r="87" spans="1:8" x14ac:dyDescent="0.3">
      <c r="A87" s="2" t="s">
        <v>10</v>
      </c>
      <c r="B87" s="2" t="s">
        <v>20</v>
      </c>
      <c r="C87" s="2" t="s">
        <v>21</v>
      </c>
      <c r="D87" s="20">
        <v>1335.87</v>
      </c>
      <c r="E87" s="6">
        <v>17</v>
      </c>
      <c r="F87" s="8">
        <v>0</v>
      </c>
      <c r="G87" s="7">
        <v>45544</v>
      </c>
      <c r="H87" s="23">
        <v>333.97</v>
      </c>
    </row>
    <row r="88" spans="1:8" x14ac:dyDescent="0.3">
      <c r="A88" s="10" t="s">
        <v>55</v>
      </c>
      <c r="B88" s="10" t="s">
        <v>18</v>
      </c>
      <c r="C88" s="10" t="s">
        <v>27</v>
      </c>
      <c r="D88" s="19">
        <v>873.7</v>
      </c>
      <c r="E88" s="11">
        <v>9</v>
      </c>
      <c r="F88" s="12">
        <v>0</v>
      </c>
      <c r="G88" s="13">
        <v>45546</v>
      </c>
      <c r="H88" s="22">
        <v>305.8</v>
      </c>
    </row>
    <row r="89" spans="1:8" x14ac:dyDescent="0.3">
      <c r="A89" s="2" t="s">
        <v>64</v>
      </c>
      <c r="B89" s="2" t="s">
        <v>11</v>
      </c>
      <c r="C89" s="2" t="s">
        <v>39</v>
      </c>
      <c r="D89" s="20">
        <v>1443.98</v>
      </c>
      <c r="E89" s="6">
        <v>19</v>
      </c>
      <c r="F89" s="8">
        <v>0</v>
      </c>
      <c r="G89" s="7">
        <v>45547</v>
      </c>
      <c r="H89" s="23">
        <v>649.79</v>
      </c>
    </row>
    <row r="90" spans="1:8" x14ac:dyDescent="0.3">
      <c r="A90" s="10" t="s">
        <v>23</v>
      </c>
      <c r="B90" s="10" t="s">
        <v>18</v>
      </c>
      <c r="C90" s="10" t="s">
        <v>39</v>
      </c>
      <c r="D90" s="19">
        <v>1154.33</v>
      </c>
      <c r="E90" s="11">
        <v>11</v>
      </c>
      <c r="F90" s="12">
        <v>0.15</v>
      </c>
      <c r="G90" s="13">
        <v>45549</v>
      </c>
      <c r="H90" s="22">
        <v>441.53</v>
      </c>
    </row>
    <row r="91" spans="1:8" x14ac:dyDescent="0.3">
      <c r="A91" s="2" t="s">
        <v>50</v>
      </c>
      <c r="B91" s="2" t="s">
        <v>20</v>
      </c>
      <c r="C91" s="2" t="s">
        <v>12</v>
      </c>
      <c r="D91" s="20">
        <v>1264.49</v>
      </c>
      <c r="E91" s="6">
        <v>16</v>
      </c>
      <c r="F91" s="8">
        <v>0.05</v>
      </c>
      <c r="G91" s="7">
        <v>45549</v>
      </c>
      <c r="H91" s="23">
        <v>480.51</v>
      </c>
    </row>
    <row r="92" spans="1:8" x14ac:dyDescent="0.3">
      <c r="A92" s="10" t="s">
        <v>66</v>
      </c>
      <c r="B92" s="10" t="s">
        <v>11</v>
      </c>
      <c r="C92" s="10" t="s">
        <v>27</v>
      </c>
      <c r="D92" s="19">
        <v>1101.55</v>
      </c>
      <c r="E92" s="11">
        <v>4</v>
      </c>
      <c r="F92" s="12">
        <v>0.1</v>
      </c>
      <c r="G92" s="13">
        <v>45551</v>
      </c>
      <c r="H92" s="22">
        <v>346.99</v>
      </c>
    </row>
    <row r="93" spans="1:8" x14ac:dyDescent="0.3">
      <c r="A93" s="2" t="s">
        <v>14</v>
      </c>
      <c r="B93" s="2" t="s">
        <v>20</v>
      </c>
      <c r="C93" s="2" t="s">
        <v>27</v>
      </c>
      <c r="D93" s="20">
        <v>727.73</v>
      </c>
      <c r="E93" s="6">
        <v>1</v>
      </c>
      <c r="F93" s="8">
        <v>0.1</v>
      </c>
      <c r="G93" s="7">
        <v>45552</v>
      </c>
      <c r="H93" s="23">
        <v>229.23</v>
      </c>
    </row>
    <row r="94" spans="1:8" x14ac:dyDescent="0.3">
      <c r="A94" s="10" t="s">
        <v>38</v>
      </c>
      <c r="B94" s="10" t="s">
        <v>18</v>
      </c>
      <c r="C94" s="10" t="s">
        <v>39</v>
      </c>
      <c r="D94" s="19">
        <v>875.41</v>
      </c>
      <c r="E94" s="11">
        <v>13</v>
      </c>
      <c r="F94" s="12">
        <v>0.15</v>
      </c>
      <c r="G94" s="13">
        <v>45552</v>
      </c>
      <c r="H94" s="22">
        <v>334.84</v>
      </c>
    </row>
    <row r="95" spans="1:8" x14ac:dyDescent="0.3">
      <c r="A95" s="2" t="s">
        <v>23</v>
      </c>
      <c r="B95" s="2" t="s">
        <v>11</v>
      </c>
      <c r="C95" s="2" t="s">
        <v>21</v>
      </c>
      <c r="D95" s="20">
        <v>1158.94</v>
      </c>
      <c r="E95" s="6">
        <v>19</v>
      </c>
      <c r="F95" s="8">
        <v>0.2</v>
      </c>
      <c r="G95" s="7">
        <v>45553</v>
      </c>
      <c r="H95" s="23">
        <v>231.79</v>
      </c>
    </row>
    <row r="96" spans="1:8" x14ac:dyDescent="0.3">
      <c r="A96" s="10" t="s">
        <v>47</v>
      </c>
      <c r="B96" s="10" t="s">
        <v>20</v>
      </c>
      <c r="C96" s="10" t="s">
        <v>12</v>
      </c>
      <c r="D96" s="19">
        <v>966.3</v>
      </c>
      <c r="E96" s="11">
        <v>2</v>
      </c>
      <c r="F96" s="12">
        <v>0.15</v>
      </c>
      <c r="G96" s="13">
        <v>45557</v>
      </c>
      <c r="H96" s="22">
        <v>328.54</v>
      </c>
    </row>
    <row r="97" spans="1:8" x14ac:dyDescent="0.3">
      <c r="A97" s="2" t="s">
        <v>17</v>
      </c>
      <c r="B97" s="2" t="s">
        <v>20</v>
      </c>
      <c r="C97" s="2" t="s">
        <v>12</v>
      </c>
      <c r="D97" s="20">
        <v>917.48</v>
      </c>
      <c r="E97" s="6">
        <v>6</v>
      </c>
      <c r="F97" s="8">
        <v>0</v>
      </c>
      <c r="G97" s="7">
        <v>45558</v>
      </c>
      <c r="H97" s="23">
        <v>366.99</v>
      </c>
    </row>
    <row r="98" spans="1:8" x14ac:dyDescent="0.3">
      <c r="A98" s="10" t="s">
        <v>61</v>
      </c>
      <c r="B98" s="10" t="s">
        <v>11</v>
      </c>
      <c r="C98" s="10" t="s">
        <v>27</v>
      </c>
      <c r="D98" s="19">
        <v>1172.97</v>
      </c>
      <c r="E98" s="11">
        <v>7</v>
      </c>
      <c r="F98" s="12">
        <v>0.15</v>
      </c>
      <c r="G98" s="13">
        <v>45559</v>
      </c>
      <c r="H98" s="22">
        <v>348.96</v>
      </c>
    </row>
    <row r="99" spans="1:8" x14ac:dyDescent="0.3">
      <c r="A99" s="2" t="s">
        <v>23</v>
      </c>
      <c r="B99" s="2" t="s">
        <v>24</v>
      </c>
      <c r="C99" s="2" t="s">
        <v>15</v>
      </c>
      <c r="D99" s="20">
        <v>1205.82</v>
      </c>
      <c r="E99" s="6">
        <v>11</v>
      </c>
      <c r="F99" s="8">
        <v>0.1</v>
      </c>
      <c r="G99" s="7">
        <v>45559</v>
      </c>
      <c r="H99" s="23">
        <v>542.62</v>
      </c>
    </row>
    <row r="100" spans="1:8" x14ac:dyDescent="0.3">
      <c r="A100" s="10" t="s">
        <v>64</v>
      </c>
      <c r="B100" s="10" t="s">
        <v>11</v>
      </c>
      <c r="C100" s="10" t="s">
        <v>39</v>
      </c>
      <c r="D100" s="19">
        <v>826.93</v>
      </c>
      <c r="E100" s="11">
        <v>10</v>
      </c>
      <c r="F100" s="12">
        <v>0.2</v>
      </c>
      <c r="G100" s="13">
        <v>45564</v>
      </c>
      <c r="H100" s="22">
        <v>297.69</v>
      </c>
    </row>
    <row r="101" spans="1:8" x14ac:dyDescent="0.3">
      <c r="A101" s="2" t="s">
        <v>23</v>
      </c>
      <c r="B101" s="2" t="s">
        <v>34</v>
      </c>
      <c r="C101" s="2" t="s">
        <v>15</v>
      </c>
      <c r="D101" s="20">
        <v>902.19</v>
      </c>
      <c r="E101" s="6">
        <v>12</v>
      </c>
      <c r="F101" s="8">
        <v>0</v>
      </c>
      <c r="G101" s="7">
        <v>45564</v>
      </c>
      <c r="H101" s="23">
        <v>451.1</v>
      </c>
    </row>
    <row r="102" spans="1:8" x14ac:dyDescent="0.3">
      <c r="A102" s="10" t="s">
        <v>38</v>
      </c>
      <c r="B102" s="10" t="s">
        <v>24</v>
      </c>
      <c r="C102" s="10" t="s">
        <v>12</v>
      </c>
      <c r="D102" s="19">
        <v>585.97</v>
      </c>
      <c r="E102" s="11">
        <v>17</v>
      </c>
      <c r="F102" s="12">
        <v>0.1</v>
      </c>
      <c r="G102" s="13">
        <v>45565</v>
      </c>
      <c r="H102" s="22">
        <v>210.95</v>
      </c>
    </row>
    <row r="103" spans="1:8" x14ac:dyDescent="0.3">
      <c r="A103" s="2" t="s">
        <v>26</v>
      </c>
      <c r="B103" s="2" t="s">
        <v>24</v>
      </c>
      <c r="C103" s="2" t="s">
        <v>15</v>
      </c>
      <c r="D103" s="20">
        <v>990.19</v>
      </c>
      <c r="E103" s="6">
        <v>8</v>
      </c>
      <c r="F103" s="8">
        <v>0.1</v>
      </c>
      <c r="G103" s="7">
        <v>45565</v>
      </c>
      <c r="H103" s="23">
        <v>445.59</v>
      </c>
    </row>
    <row r="104" spans="1:8" x14ac:dyDescent="0.3">
      <c r="A104" s="10" t="s">
        <v>56</v>
      </c>
      <c r="B104" s="10" t="s">
        <v>34</v>
      </c>
      <c r="C104" s="10" t="s">
        <v>21</v>
      </c>
      <c r="D104" s="19">
        <v>1014.09</v>
      </c>
      <c r="E104" s="11">
        <v>13</v>
      </c>
      <c r="F104" s="12">
        <v>0.2</v>
      </c>
      <c r="G104" s="13">
        <v>45567</v>
      </c>
      <c r="H104" s="22">
        <v>202.82</v>
      </c>
    </row>
    <row r="105" spans="1:8" x14ac:dyDescent="0.3">
      <c r="A105" s="2" t="s">
        <v>48</v>
      </c>
      <c r="B105" s="2" t="s">
        <v>24</v>
      </c>
      <c r="C105" s="2" t="s">
        <v>21</v>
      </c>
      <c r="D105" s="20">
        <v>925.29</v>
      </c>
      <c r="E105" s="6">
        <v>17</v>
      </c>
      <c r="F105" s="8">
        <v>0</v>
      </c>
      <c r="G105" s="7">
        <v>45570</v>
      </c>
      <c r="H105" s="23">
        <v>231.32</v>
      </c>
    </row>
    <row r="106" spans="1:8" x14ac:dyDescent="0.3">
      <c r="A106" s="10" t="s">
        <v>47</v>
      </c>
      <c r="B106" s="10" t="s">
        <v>18</v>
      </c>
      <c r="C106" s="10" t="s">
        <v>27</v>
      </c>
      <c r="D106" s="19">
        <v>1286.54</v>
      </c>
      <c r="E106" s="11">
        <v>8</v>
      </c>
      <c r="F106" s="12">
        <v>0</v>
      </c>
      <c r="G106" s="13">
        <v>45575</v>
      </c>
      <c r="H106" s="22">
        <v>450.29</v>
      </c>
    </row>
    <row r="107" spans="1:8" x14ac:dyDescent="0.3">
      <c r="A107" s="2" t="s">
        <v>64</v>
      </c>
      <c r="B107" s="2" t="s">
        <v>20</v>
      </c>
      <c r="C107" s="2" t="s">
        <v>12</v>
      </c>
      <c r="D107" s="20">
        <v>961.62</v>
      </c>
      <c r="E107" s="6">
        <v>8</v>
      </c>
      <c r="F107" s="8">
        <v>0.2</v>
      </c>
      <c r="G107" s="7">
        <v>45577</v>
      </c>
      <c r="H107" s="23">
        <v>307.72000000000003</v>
      </c>
    </row>
    <row r="108" spans="1:8" x14ac:dyDescent="0.3">
      <c r="A108" s="10" t="s">
        <v>23</v>
      </c>
      <c r="B108" s="10" t="s">
        <v>18</v>
      </c>
      <c r="C108" s="10" t="s">
        <v>12</v>
      </c>
      <c r="D108" s="19">
        <v>1081.1400000000001</v>
      </c>
      <c r="E108" s="11">
        <v>19</v>
      </c>
      <c r="F108" s="12">
        <v>0.15</v>
      </c>
      <c r="G108" s="13">
        <v>45577</v>
      </c>
      <c r="H108" s="22">
        <v>367.59</v>
      </c>
    </row>
    <row r="109" spans="1:8" x14ac:dyDescent="0.3">
      <c r="A109" s="2" t="s">
        <v>23</v>
      </c>
      <c r="B109" s="2" t="s">
        <v>11</v>
      </c>
      <c r="C109" s="2" t="s">
        <v>15</v>
      </c>
      <c r="D109" s="20">
        <v>1923.66</v>
      </c>
      <c r="E109" s="6">
        <v>9</v>
      </c>
      <c r="F109" s="8">
        <v>0.2</v>
      </c>
      <c r="G109" s="7">
        <v>45580</v>
      </c>
      <c r="H109" s="23">
        <v>769.46</v>
      </c>
    </row>
    <row r="110" spans="1:8" x14ac:dyDescent="0.3">
      <c r="A110" s="10" t="s">
        <v>66</v>
      </c>
      <c r="B110" s="10" t="s">
        <v>34</v>
      </c>
      <c r="C110" s="10" t="s">
        <v>15</v>
      </c>
      <c r="D110" s="19">
        <v>728.71</v>
      </c>
      <c r="E110" s="11">
        <v>14</v>
      </c>
      <c r="F110" s="12">
        <v>0.1</v>
      </c>
      <c r="G110" s="13">
        <v>45581</v>
      </c>
      <c r="H110" s="22">
        <v>327.92</v>
      </c>
    </row>
    <row r="111" spans="1:8" x14ac:dyDescent="0.3">
      <c r="A111" s="2" t="s">
        <v>33</v>
      </c>
      <c r="B111" s="2" t="s">
        <v>34</v>
      </c>
      <c r="C111" s="2" t="s">
        <v>15</v>
      </c>
      <c r="D111" s="20">
        <v>1301.8900000000001</v>
      </c>
      <c r="E111" s="6">
        <v>7</v>
      </c>
      <c r="F111" s="8">
        <v>0.15</v>
      </c>
      <c r="G111" s="7">
        <v>45581</v>
      </c>
      <c r="H111" s="23">
        <v>553.29999999999995</v>
      </c>
    </row>
    <row r="112" spans="1:8" x14ac:dyDescent="0.3">
      <c r="A112" s="10" t="s">
        <v>66</v>
      </c>
      <c r="B112" s="10" t="s">
        <v>18</v>
      </c>
      <c r="C112" s="10" t="s">
        <v>12</v>
      </c>
      <c r="D112" s="19">
        <v>980.18</v>
      </c>
      <c r="E112" s="11">
        <v>16</v>
      </c>
      <c r="F112" s="12">
        <v>0.1</v>
      </c>
      <c r="G112" s="13">
        <v>45582</v>
      </c>
      <c r="H112" s="22">
        <v>352.86</v>
      </c>
    </row>
    <row r="113" spans="1:8" x14ac:dyDescent="0.3">
      <c r="A113" s="2" t="s">
        <v>23</v>
      </c>
      <c r="B113" s="2" t="s">
        <v>11</v>
      </c>
      <c r="C113" s="2" t="s">
        <v>15</v>
      </c>
      <c r="D113" s="20">
        <v>697.57</v>
      </c>
      <c r="E113" s="6">
        <v>17</v>
      </c>
      <c r="F113" s="8">
        <v>0.1</v>
      </c>
      <c r="G113" s="7">
        <v>45584</v>
      </c>
      <c r="H113" s="23">
        <v>313.91000000000003</v>
      </c>
    </row>
    <row r="114" spans="1:8" x14ac:dyDescent="0.3">
      <c r="A114" s="10" t="s">
        <v>71</v>
      </c>
      <c r="B114" s="10" t="s">
        <v>11</v>
      </c>
      <c r="C114" s="10" t="s">
        <v>27</v>
      </c>
      <c r="D114" s="19">
        <v>1193.6099999999999</v>
      </c>
      <c r="E114" s="11">
        <v>1</v>
      </c>
      <c r="F114" s="12">
        <v>0.15</v>
      </c>
      <c r="G114" s="13">
        <v>45584</v>
      </c>
      <c r="H114" s="22">
        <v>355.1</v>
      </c>
    </row>
    <row r="115" spans="1:8" x14ac:dyDescent="0.3">
      <c r="A115" s="2" t="s">
        <v>38</v>
      </c>
      <c r="B115" s="2" t="s">
        <v>20</v>
      </c>
      <c r="C115" s="2" t="s">
        <v>21</v>
      </c>
      <c r="D115" s="20">
        <v>771.02</v>
      </c>
      <c r="E115" s="6">
        <v>1</v>
      </c>
      <c r="F115" s="8">
        <v>0</v>
      </c>
      <c r="G115" s="7">
        <v>45585</v>
      </c>
      <c r="H115" s="23">
        <v>192.76</v>
      </c>
    </row>
    <row r="116" spans="1:8" x14ac:dyDescent="0.3">
      <c r="A116" s="10" t="s">
        <v>69</v>
      </c>
      <c r="B116" s="10" t="s">
        <v>24</v>
      </c>
      <c r="C116" s="10" t="s">
        <v>15</v>
      </c>
      <c r="D116" s="19">
        <v>661.09</v>
      </c>
      <c r="E116" s="11">
        <v>1</v>
      </c>
      <c r="F116" s="12">
        <v>0.2</v>
      </c>
      <c r="G116" s="13">
        <v>45593</v>
      </c>
      <c r="H116" s="22">
        <v>264.44</v>
      </c>
    </row>
    <row r="117" spans="1:8" x14ac:dyDescent="0.3">
      <c r="A117" s="2" t="s">
        <v>55</v>
      </c>
      <c r="B117" s="2" t="s">
        <v>11</v>
      </c>
      <c r="C117" s="2" t="s">
        <v>21</v>
      </c>
      <c r="D117" s="20">
        <v>688.83</v>
      </c>
      <c r="E117" s="6">
        <v>15</v>
      </c>
      <c r="F117" s="8">
        <v>0</v>
      </c>
      <c r="G117" s="7">
        <v>45595</v>
      </c>
      <c r="H117" s="23">
        <v>172.21</v>
      </c>
    </row>
    <row r="118" spans="1:8" x14ac:dyDescent="0.3">
      <c r="A118" s="10" t="s">
        <v>29</v>
      </c>
      <c r="B118" s="10" t="s">
        <v>34</v>
      </c>
      <c r="C118" s="10" t="s">
        <v>12</v>
      </c>
      <c r="D118" s="19">
        <v>1249.0999999999999</v>
      </c>
      <c r="E118" s="11">
        <v>4</v>
      </c>
      <c r="F118" s="12">
        <v>0.05</v>
      </c>
      <c r="G118" s="13">
        <v>45597</v>
      </c>
      <c r="H118" s="22">
        <v>474.66</v>
      </c>
    </row>
    <row r="119" spans="1:8" x14ac:dyDescent="0.3">
      <c r="A119" s="2" t="s">
        <v>23</v>
      </c>
      <c r="B119" s="2" t="s">
        <v>18</v>
      </c>
      <c r="C119" s="2" t="s">
        <v>39</v>
      </c>
      <c r="D119" s="20">
        <v>1014.22</v>
      </c>
      <c r="E119" s="6">
        <v>14</v>
      </c>
      <c r="F119" s="8">
        <v>0.05</v>
      </c>
      <c r="G119" s="7">
        <v>45599</v>
      </c>
      <c r="H119" s="23">
        <v>433.58</v>
      </c>
    </row>
    <row r="120" spans="1:8" x14ac:dyDescent="0.3">
      <c r="A120" s="10" t="s">
        <v>48</v>
      </c>
      <c r="B120" s="10" t="s">
        <v>18</v>
      </c>
      <c r="C120" s="10" t="s">
        <v>12</v>
      </c>
      <c r="D120" s="19">
        <v>1010.58</v>
      </c>
      <c r="E120" s="11">
        <v>2</v>
      </c>
      <c r="F120" s="12">
        <v>0.15</v>
      </c>
      <c r="G120" s="13">
        <v>45605</v>
      </c>
      <c r="H120" s="22">
        <v>343.6</v>
      </c>
    </row>
    <row r="121" spans="1:8" x14ac:dyDescent="0.3">
      <c r="A121" s="2" t="s">
        <v>59</v>
      </c>
      <c r="B121" s="2" t="s">
        <v>24</v>
      </c>
      <c r="C121" s="2" t="s">
        <v>27</v>
      </c>
      <c r="D121" s="20">
        <v>957.29</v>
      </c>
      <c r="E121" s="6">
        <v>4</v>
      </c>
      <c r="F121" s="8">
        <v>0.05</v>
      </c>
      <c r="G121" s="7">
        <v>45605</v>
      </c>
      <c r="H121" s="23">
        <v>318.3</v>
      </c>
    </row>
    <row r="122" spans="1:8" x14ac:dyDescent="0.3">
      <c r="A122" s="10" t="s">
        <v>45</v>
      </c>
      <c r="B122" s="10" t="s">
        <v>24</v>
      </c>
      <c r="C122" s="10" t="s">
        <v>27</v>
      </c>
      <c r="D122" s="19">
        <v>1077.92</v>
      </c>
      <c r="E122" s="11">
        <v>3</v>
      </c>
      <c r="F122" s="12">
        <v>0.05</v>
      </c>
      <c r="G122" s="13">
        <v>45608</v>
      </c>
      <c r="H122" s="22">
        <v>358.41</v>
      </c>
    </row>
    <row r="123" spans="1:8" x14ac:dyDescent="0.3">
      <c r="A123" s="2" t="s">
        <v>50</v>
      </c>
      <c r="B123" s="2" t="s">
        <v>20</v>
      </c>
      <c r="C123" s="2" t="s">
        <v>15</v>
      </c>
      <c r="D123" s="20">
        <v>1163.01</v>
      </c>
      <c r="E123" s="6">
        <v>5</v>
      </c>
      <c r="F123" s="8">
        <v>0</v>
      </c>
      <c r="G123" s="7">
        <v>45611</v>
      </c>
      <c r="H123" s="23">
        <v>581.5</v>
      </c>
    </row>
    <row r="124" spans="1:8" x14ac:dyDescent="0.3">
      <c r="A124" s="10" t="s">
        <v>45</v>
      </c>
      <c r="B124" s="10" t="s">
        <v>18</v>
      </c>
      <c r="C124" s="10" t="s">
        <v>39</v>
      </c>
      <c r="D124" s="19">
        <v>1014.56</v>
      </c>
      <c r="E124" s="11">
        <v>10</v>
      </c>
      <c r="F124" s="12">
        <v>0.1</v>
      </c>
      <c r="G124" s="13">
        <v>45612</v>
      </c>
      <c r="H124" s="22">
        <v>410.9</v>
      </c>
    </row>
    <row r="125" spans="1:8" x14ac:dyDescent="0.3">
      <c r="A125" s="2" t="s">
        <v>17</v>
      </c>
      <c r="B125" s="2" t="s">
        <v>20</v>
      </c>
      <c r="C125" s="2" t="s">
        <v>21</v>
      </c>
      <c r="D125" s="20">
        <v>718.04</v>
      </c>
      <c r="E125" s="6">
        <v>14</v>
      </c>
      <c r="F125" s="8">
        <v>0</v>
      </c>
      <c r="G125" s="7">
        <v>45613</v>
      </c>
      <c r="H125" s="23">
        <v>179.51</v>
      </c>
    </row>
    <row r="126" spans="1:8" x14ac:dyDescent="0.3">
      <c r="A126" s="10" t="s">
        <v>17</v>
      </c>
      <c r="B126" s="10" t="s">
        <v>34</v>
      </c>
      <c r="C126" s="10" t="s">
        <v>15</v>
      </c>
      <c r="D126" s="19">
        <v>1277.8499999999999</v>
      </c>
      <c r="E126" s="11">
        <v>18</v>
      </c>
      <c r="F126" s="12">
        <v>0.2</v>
      </c>
      <c r="G126" s="13">
        <v>45613</v>
      </c>
      <c r="H126" s="22">
        <v>511.14</v>
      </c>
    </row>
    <row r="127" spans="1:8" x14ac:dyDescent="0.3">
      <c r="A127" s="2" t="s">
        <v>23</v>
      </c>
      <c r="B127" s="2" t="s">
        <v>24</v>
      </c>
      <c r="C127" s="2" t="s">
        <v>21</v>
      </c>
      <c r="D127" s="20">
        <v>706.73</v>
      </c>
      <c r="E127" s="6">
        <v>1</v>
      </c>
      <c r="F127" s="8">
        <v>0.15</v>
      </c>
      <c r="G127" s="7">
        <v>45613</v>
      </c>
      <c r="H127" s="23">
        <v>150.18</v>
      </c>
    </row>
    <row r="128" spans="1:8" x14ac:dyDescent="0.3">
      <c r="A128" s="10" t="s">
        <v>50</v>
      </c>
      <c r="B128" s="10" t="s">
        <v>18</v>
      </c>
      <c r="C128" s="10" t="s">
        <v>21</v>
      </c>
      <c r="D128" s="19">
        <v>1410.59</v>
      </c>
      <c r="E128" s="11">
        <v>15</v>
      </c>
      <c r="F128" s="12">
        <v>0</v>
      </c>
      <c r="G128" s="13">
        <v>45615</v>
      </c>
      <c r="H128" s="22">
        <v>352.65</v>
      </c>
    </row>
    <row r="129" spans="1:8" x14ac:dyDescent="0.3">
      <c r="A129" s="2" t="s">
        <v>61</v>
      </c>
      <c r="B129" s="2" t="s">
        <v>20</v>
      </c>
      <c r="C129" s="2" t="s">
        <v>27</v>
      </c>
      <c r="D129" s="20">
        <v>1350.33</v>
      </c>
      <c r="E129" s="6">
        <v>10</v>
      </c>
      <c r="F129" s="8">
        <v>0</v>
      </c>
      <c r="G129" s="7">
        <v>45615</v>
      </c>
      <c r="H129" s="23">
        <v>472.62</v>
      </c>
    </row>
    <row r="130" spans="1:8" x14ac:dyDescent="0.3">
      <c r="A130" s="10" t="s">
        <v>45</v>
      </c>
      <c r="B130" s="10" t="s">
        <v>18</v>
      </c>
      <c r="C130" s="10" t="s">
        <v>21</v>
      </c>
      <c r="D130" s="19">
        <v>919.18</v>
      </c>
      <c r="E130" s="11">
        <v>4</v>
      </c>
      <c r="F130" s="12">
        <v>0.15</v>
      </c>
      <c r="G130" s="13">
        <v>45615</v>
      </c>
      <c r="H130" s="22">
        <v>195.33</v>
      </c>
    </row>
    <row r="131" spans="1:8" x14ac:dyDescent="0.3">
      <c r="A131" s="2" t="s">
        <v>23</v>
      </c>
      <c r="B131" s="2" t="s">
        <v>11</v>
      </c>
      <c r="C131" s="2" t="s">
        <v>21</v>
      </c>
      <c r="D131" s="20">
        <v>258.51</v>
      </c>
      <c r="E131" s="6">
        <v>19</v>
      </c>
      <c r="F131" s="8">
        <v>0</v>
      </c>
      <c r="G131" s="7">
        <v>45616</v>
      </c>
      <c r="H131" s="23">
        <v>64.63</v>
      </c>
    </row>
    <row r="132" spans="1:8" x14ac:dyDescent="0.3">
      <c r="A132" s="10" t="s">
        <v>61</v>
      </c>
      <c r="B132" s="10" t="s">
        <v>18</v>
      </c>
      <c r="C132" s="10" t="s">
        <v>12</v>
      </c>
      <c r="D132" s="19">
        <v>1213.48</v>
      </c>
      <c r="E132" s="11">
        <v>5</v>
      </c>
      <c r="F132" s="12">
        <v>0.05</v>
      </c>
      <c r="G132" s="13">
        <v>45616</v>
      </c>
      <c r="H132" s="22">
        <v>461.12</v>
      </c>
    </row>
    <row r="133" spans="1:8" x14ac:dyDescent="0.3">
      <c r="A133" s="2" t="s">
        <v>38</v>
      </c>
      <c r="B133" s="2" t="s">
        <v>34</v>
      </c>
      <c r="C133" s="2" t="s">
        <v>12</v>
      </c>
      <c r="D133" s="20">
        <v>1150.28</v>
      </c>
      <c r="E133" s="6">
        <v>8</v>
      </c>
      <c r="F133" s="8">
        <v>0.05</v>
      </c>
      <c r="G133" s="7">
        <v>45622</v>
      </c>
      <c r="H133" s="23">
        <v>437.11</v>
      </c>
    </row>
    <row r="134" spans="1:8" x14ac:dyDescent="0.3">
      <c r="A134" s="10" t="s">
        <v>71</v>
      </c>
      <c r="B134" s="10" t="s">
        <v>20</v>
      </c>
      <c r="C134" s="10" t="s">
        <v>27</v>
      </c>
      <c r="D134" s="19">
        <v>853.86</v>
      </c>
      <c r="E134" s="11">
        <v>8</v>
      </c>
      <c r="F134" s="12">
        <v>0.1</v>
      </c>
      <c r="G134" s="13">
        <v>45622</v>
      </c>
      <c r="H134" s="22">
        <v>268.97000000000003</v>
      </c>
    </row>
    <row r="135" spans="1:8" x14ac:dyDescent="0.3">
      <c r="A135" s="2" t="s">
        <v>45</v>
      </c>
      <c r="B135" s="2" t="s">
        <v>20</v>
      </c>
      <c r="C135" s="2" t="s">
        <v>21</v>
      </c>
      <c r="D135" s="20">
        <v>1061.04</v>
      </c>
      <c r="E135" s="6">
        <v>1</v>
      </c>
      <c r="F135" s="8">
        <v>0</v>
      </c>
      <c r="G135" s="7">
        <v>45624</v>
      </c>
      <c r="H135" s="23">
        <v>265.26</v>
      </c>
    </row>
    <row r="136" spans="1:8" x14ac:dyDescent="0.3">
      <c r="A136" s="10" t="s">
        <v>43</v>
      </c>
      <c r="B136" s="10" t="s">
        <v>11</v>
      </c>
      <c r="C136" s="10" t="s">
        <v>21</v>
      </c>
      <c r="D136" s="19">
        <v>894.55</v>
      </c>
      <c r="E136" s="11">
        <v>19</v>
      </c>
      <c r="F136" s="12">
        <v>0.2</v>
      </c>
      <c r="G136" s="13">
        <v>45625</v>
      </c>
      <c r="H136" s="22">
        <v>178.91</v>
      </c>
    </row>
    <row r="137" spans="1:8" x14ac:dyDescent="0.3">
      <c r="A137" s="2" t="s">
        <v>38</v>
      </c>
      <c r="B137" s="2" t="s">
        <v>24</v>
      </c>
      <c r="C137" s="2" t="s">
        <v>39</v>
      </c>
      <c r="D137" s="20">
        <v>833.91</v>
      </c>
      <c r="E137" s="6">
        <v>3</v>
      </c>
      <c r="F137" s="8">
        <v>0.05</v>
      </c>
      <c r="G137" s="7">
        <v>45626</v>
      </c>
      <c r="H137" s="23">
        <v>356.5</v>
      </c>
    </row>
    <row r="138" spans="1:8" x14ac:dyDescent="0.3">
      <c r="A138" s="10" t="s">
        <v>71</v>
      </c>
      <c r="B138" s="10" t="s">
        <v>11</v>
      </c>
      <c r="C138" s="10" t="s">
        <v>27</v>
      </c>
      <c r="D138" s="19">
        <v>820.19</v>
      </c>
      <c r="E138" s="11">
        <v>4</v>
      </c>
      <c r="F138" s="12">
        <v>0.2</v>
      </c>
      <c r="G138" s="13">
        <v>45630</v>
      </c>
      <c r="H138" s="22">
        <v>229.65</v>
      </c>
    </row>
    <row r="139" spans="1:8" x14ac:dyDescent="0.3">
      <c r="A139" s="2" t="s">
        <v>38</v>
      </c>
      <c r="B139" s="2" t="s">
        <v>34</v>
      </c>
      <c r="C139" s="2" t="s">
        <v>21</v>
      </c>
      <c r="D139" s="20">
        <v>511.74</v>
      </c>
      <c r="E139" s="6">
        <v>8</v>
      </c>
      <c r="F139" s="8">
        <v>0.05</v>
      </c>
      <c r="G139" s="7">
        <v>45631</v>
      </c>
      <c r="H139" s="23">
        <v>121.54</v>
      </c>
    </row>
    <row r="140" spans="1:8" x14ac:dyDescent="0.3">
      <c r="A140" s="10" t="s">
        <v>61</v>
      </c>
      <c r="B140" s="10" t="s">
        <v>20</v>
      </c>
      <c r="C140" s="10" t="s">
        <v>27</v>
      </c>
      <c r="D140" s="19">
        <v>806.03</v>
      </c>
      <c r="E140" s="11">
        <v>19</v>
      </c>
      <c r="F140" s="12">
        <v>0.05</v>
      </c>
      <c r="G140" s="13">
        <v>45638</v>
      </c>
      <c r="H140" s="22">
        <v>268</v>
      </c>
    </row>
    <row r="141" spans="1:8" x14ac:dyDescent="0.3">
      <c r="A141" s="2" t="s">
        <v>26</v>
      </c>
      <c r="B141" s="2" t="s">
        <v>34</v>
      </c>
      <c r="C141" s="2" t="s">
        <v>27</v>
      </c>
      <c r="D141" s="20">
        <v>1432.47</v>
      </c>
      <c r="E141" s="6">
        <v>16</v>
      </c>
      <c r="F141" s="8">
        <v>0.15</v>
      </c>
      <c r="G141" s="7">
        <v>45640</v>
      </c>
      <c r="H141" s="23">
        <v>426.16</v>
      </c>
    </row>
    <row r="142" spans="1:8" x14ac:dyDescent="0.3">
      <c r="A142" s="10" t="s">
        <v>29</v>
      </c>
      <c r="B142" s="10" t="s">
        <v>34</v>
      </c>
      <c r="C142" s="10" t="s">
        <v>21</v>
      </c>
      <c r="D142" s="19">
        <v>1488.58</v>
      </c>
      <c r="E142" s="11">
        <v>10</v>
      </c>
      <c r="F142" s="12">
        <v>0.15</v>
      </c>
      <c r="G142" s="13">
        <v>45640</v>
      </c>
      <c r="H142" s="22">
        <v>316.32</v>
      </c>
    </row>
    <row r="143" spans="1:8" x14ac:dyDescent="0.3">
      <c r="A143" s="2" t="s">
        <v>66</v>
      </c>
      <c r="B143" s="2" t="s">
        <v>18</v>
      </c>
      <c r="C143" s="2" t="s">
        <v>12</v>
      </c>
      <c r="D143" s="20">
        <v>1231.26</v>
      </c>
      <c r="E143" s="6">
        <v>9</v>
      </c>
      <c r="F143" s="8">
        <v>0</v>
      </c>
      <c r="G143" s="7">
        <v>45646</v>
      </c>
      <c r="H143" s="23">
        <v>492.5</v>
      </c>
    </row>
    <row r="144" spans="1:8" x14ac:dyDescent="0.3">
      <c r="A144" s="10" t="s">
        <v>43</v>
      </c>
      <c r="B144" s="10" t="s">
        <v>11</v>
      </c>
      <c r="C144" s="10" t="s">
        <v>21</v>
      </c>
      <c r="D144" s="19">
        <v>1161.67</v>
      </c>
      <c r="E144" s="11">
        <v>19</v>
      </c>
      <c r="F144" s="12">
        <v>0.2</v>
      </c>
      <c r="G144" s="13">
        <v>45647</v>
      </c>
      <c r="H144" s="22">
        <v>232.33</v>
      </c>
    </row>
    <row r="145" spans="1:8" x14ac:dyDescent="0.3">
      <c r="A145" s="2" t="s">
        <v>45</v>
      </c>
      <c r="B145" s="2" t="s">
        <v>34</v>
      </c>
      <c r="C145" s="2" t="s">
        <v>39</v>
      </c>
      <c r="D145" s="20">
        <v>388.23</v>
      </c>
      <c r="E145" s="6">
        <v>16</v>
      </c>
      <c r="F145" s="8">
        <v>0.05</v>
      </c>
      <c r="G145" s="7">
        <v>45650</v>
      </c>
      <c r="H145" s="23">
        <v>165.97</v>
      </c>
    </row>
    <row r="146" spans="1:8" x14ac:dyDescent="0.3">
      <c r="A146" s="10" t="s">
        <v>31</v>
      </c>
      <c r="B146" s="10" t="s">
        <v>24</v>
      </c>
      <c r="C146" s="10" t="s">
        <v>15</v>
      </c>
      <c r="D146" s="19">
        <v>1589.42</v>
      </c>
      <c r="E146" s="11">
        <v>6</v>
      </c>
      <c r="F146" s="12">
        <v>0.15</v>
      </c>
      <c r="G146" s="13">
        <v>45651</v>
      </c>
      <c r="H146" s="22">
        <v>675.5</v>
      </c>
    </row>
    <row r="147" spans="1:8" x14ac:dyDescent="0.3">
      <c r="A147" s="2" t="s">
        <v>71</v>
      </c>
      <c r="B147" s="2" t="s">
        <v>24</v>
      </c>
      <c r="C147" s="2" t="s">
        <v>15</v>
      </c>
      <c r="D147" s="20">
        <v>336.66</v>
      </c>
      <c r="E147" s="6">
        <v>13</v>
      </c>
      <c r="F147" s="8">
        <v>0.2</v>
      </c>
      <c r="G147" s="7">
        <v>45651</v>
      </c>
      <c r="H147" s="23">
        <v>134.66</v>
      </c>
    </row>
    <row r="148" spans="1:8" x14ac:dyDescent="0.3">
      <c r="A148" s="10" t="s">
        <v>23</v>
      </c>
      <c r="B148" s="10" t="s">
        <v>11</v>
      </c>
      <c r="C148" s="10" t="s">
        <v>12</v>
      </c>
      <c r="D148" s="19">
        <v>1353.79</v>
      </c>
      <c r="E148" s="11">
        <v>14</v>
      </c>
      <c r="F148" s="12">
        <v>0.1</v>
      </c>
      <c r="G148" s="13">
        <v>45656</v>
      </c>
      <c r="H148" s="22">
        <v>487.36</v>
      </c>
    </row>
    <row r="202" spans="11:11" x14ac:dyDescent="0.3">
      <c r="K202" s="29"/>
    </row>
    <row r="203" spans="11:11" x14ac:dyDescent="0.3">
      <c r="K203" s="29"/>
    </row>
  </sheetData>
  <phoneticPr fontId="3" type="noConversion"/>
  <conditionalFormatting sqref="J2:J10">
    <cfRule type="iconSet" priority="2">
      <iconSet iconSet="3Arrows">
        <cfvo type="percent" val="0"/>
        <cfvo type="percent" val="33"/>
        <cfvo type="percent" val="67"/>
      </iconSet>
    </cfRule>
  </conditionalFormatting>
  <conditionalFormatting sqref="K2:K10">
    <cfRule type="iconSet" priority="1">
      <iconSet iconSet="3Arrows">
        <cfvo type="percent" val="0"/>
        <cfvo type="percent" val="33"/>
        <cfvo type="percent" val="67"/>
      </iconSet>
    </cfRule>
  </conditionalFormatting>
  <conditionalFormatting sqref="L2:L10">
    <cfRule type="iconSet" priority="7">
      <iconSet iconSet="3Arrows">
        <cfvo type="percent" val="0"/>
        <cfvo type="percent" val="33"/>
        <cfvo type="percent" val="67"/>
      </iconSet>
    </cfRule>
  </conditionalFormatting>
  <pageMargins left="0.7" right="0.7" top="0.75" bottom="0.75" header="0.3" footer="0.3"/>
  <tableParts count="2">
    <tablePart r:id="rId1"/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0C63AA-BA2B-479F-94A7-EC3FE3417AE1}">
  <dimension ref="A1:I148"/>
  <sheetViews>
    <sheetView zoomScale="174" workbookViewId="0">
      <selection activeCell="J6" sqref="J6"/>
    </sheetView>
  </sheetViews>
  <sheetFormatPr defaultRowHeight="14.4" x14ac:dyDescent="0.3"/>
  <cols>
    <col min="1" max="1" width="17.44140625" bestFit="1" customWidth="1"/>
    <col min="2" max="2" width="9" bestFit="1" customWidth="1"/>
    <col min="3" max="3" width="18.5546875" bestFit="1" customWidth="1"/>
    <col min="4" max="4" width="7.44140625" bestFit="1" customWidth="1"/>
    <col min="5" max="6" width="10.5546875" bestFit="1" customWidth="1"/>
    <col min="7" max="7" width="12.88671875" bestFit="1" customWidth="1"/>
    <col min="8" max="8" width="7.88671875" bestFit="1" customWidth="1"/>
    <col min="9" max="9" width="22.109375" customWidth="1"/>
  </cols>
  <sheetData>
    <row r="1" spans="1:9" x14ac:dyDescent="0.3">
      <c r="A1" s="39" t="s">
        <v>1</v>
      </c>
      <c r="B1" s="39" t="s">
        <v>2</v>
      </c>
      <c r="C1" s="39" t="s">
        <v>3</v>
      </c>
      <c r="D1" s="39" t="s">
        <v>4</v>
      </c>
      <c r="E1" s="39" t="s">
        <v>5</v>
      </c>
      <c r="F1" s="39" t="s">
        <v>6</v>
      </c>
      <c r="G1" s="39" t="s">
        <v>7</v>
      </c>
      <c r="H1" s="39" t="s">
        <v>8</v>
      </c>
      <c r="I1" s="43" t="s">
        <v>101</v>
      </c>
    </row>
    <row r="2" spans="1:9" x14ac:dyDescent="0.3">
      <c r="A2" s="10" t="s">
        <v>10</v>
      </c>
      <c r="B2" s="10" t="s">
        <v>11</v>
      </c>
      <c r="C2" s="10" t="s">
        <v>12</v>
      </c>
      <c r="D2" s="19">
        <v>1036.0899999999999</v>
      </c>
      <c r="E2" s="11">
        <v>4</v>
      </c>
      <c r="F2" s="12">
        <v>0.2</v>
      </c>
      <c r="G2" s="13">
        <v>45392</v>
      </c>
      <c r="H2" s="40">
        <v>331.55</v>
      </c>
      <c r="I2" s="42">
        <f t="shared" ref="I2:I33" ca="1" si="0">NOW()</f>
        <v>46324.99402395833</v>
      </c>
    </row>
    <row r="3" spans="1:9" x14ac:dyDescent="0.3">
      <c r="A3" s="2" t="s">
        <v>14</v>
      </c>
      <c r="B3" s="2" t="s">
        <v>11</v>
      </c>
      <c r="C3" s="2" t="s">
        <v>15</v>
      </c>
      <c r="D3" s="20">
        <v>1101.28</v>
      </c>
      <c r="E3" s="6">
        <v>3</v>
      </c>
      <c r="F3" s="8">
        <v>0.2</v>
      </c>
      <c r="G3" s="7">
        <v>45393</v>
      </c>
      <c r="H3" s="41">
        <v>440.51</v>
      </c>
      <c r="I3" s="42">
        <f t="shared" ca="1" si="0"/>
        <v>46324.99402395833</v>
      </c>
    </row>
    <row r="4" spans="1:9" x14ac:dyDescent="0.3">
      <c r="A4" s="10" t="s">
        <v>17</v>
      </c>
      <c r="B4" s="10" t="s">
        <v>18</v>
      </c>
      <c r="C4" s="10" t="s">
        <v>12</v>
      </c>
      <c r="D4" s="19">
        <v>713.34</v>
      </c>
      <c r="E4" s="11">
        <v>17</v>
      </c>
      <c r="F4" s="12">
        <v>0</v>
      </c>
      <c r="G4" s="13">
        <v>45396</v>
      </c>
      <c r="H4" s="40">
        <v>285.33999999999997</v>
      </c>
      <c r="I4" s="42">
        <f t="shared" ca="1" si="0"/>
        <v>46324.99402395833</v>
      </c>
    </row>
    <row r="5" spans="1:9" x14ac:dyDescent="0.3">
      <c r="A5" s="2" t="s">
        <v>14</v>
      </c>
      <c r="B5" s="2" t="s">
        <v>20</v>
      </c>
      <c r="C5" s="2" t="s">
        <v>21</v>
      </c>
      <c r="D5" s="20">
        <v>760.93</v>
      </c>
      <c r="E5" s="6">
        <v>4</v>
      </c>
      <c r="F5" s="8">
        <v>0.15</v>
      </c>
      <c r="G5" s="7">
        <v>45396</v>
      </c>
      <c r="H5" s="41">
        <v>161.69999999999999</v>
      </c>
      <c r="I5" s="42">
        <f t="shared" ca="1" si="0"/>
        <v>46324.99402395833</v>
      </c>
    </row>
    <row r="6" spans="1:9" x14ac:dyDescent="0.3">
      <c r="A6" s="10" t="s">
        <v>23</v>
      </c>
      <c r="B6" s="10" t="s">
        <v>24</v>
      </c>
      <c r="C6" s="10" t="s">
        <v>12</v>
      </c>
      <c r="D6" s="19">
        <v>847</v>
      </c>
      <c r="E6" s="11">
        <v>12</v>
      </c>
      <c r="F6" s="12">
        <v>0.2</v>
      </c>
      <c r="G6" s="13">
        <v>45397</v>
      </c>
      <c r="H6" s="40">
        <v>271.04000000000002</v>
      </c>
      <c r="I6" s="42">
        <f t="shared" ca="1" si="0"/>
        <v>46324.99402395833</v>
      </c>
    </row>
    <row r="7" spans="1:9" x14ac:dyDescent="0.3">
      <c r="A7" s="2" t="s">
        <v>26</v>
      </c>
      <c r="B7" s="2" t="s">
        <v>24</v>
      </c>
      <c r="C7" s="2" t="s">
        <v>27</v>
      </c>
      <c r="D7" s="20">
        <v>965.64</v>
      </c>
      <c r="E7" s="6">
        <v>8</v>
      </c>
      <c r="F7" s="8">
        <v>0.1</v>
      </c>
      <c r="G7" s="7">
        <v>45398</v>
      </c>
      <c r="H7" s="41">
        <v>304.18</v>
      </c>
      <c r="I7" s="42">
        <f t="shared" ca="1" si="0"/>
        <v>46324.99402395833</v>
      </c>
    </row>
    <row r="8" spans="1:9" x14ac:dyDescent="0.3">
      <c r="A8" s="10" t="s">
        <v>29</v>
      </c>
      <c r="B8" s="10" t="s">
        <v>11</v>
      </c>
      <c r="C8" s="10" t="s">
        <v>21</v>
      </c>
      <c r="D8" s="19">
        <v>1317.53</v>
      </c>
      <c r="E8" s="11">
        <v>12</v>
      </c>
      <c r="F8" s="12">
        <v>0.05</v>
      </c>
      <c r="G8" s="13">
        <v>45398</v>
      </c>
      <c r="H8" s="40">
        <v>312.91000000000003</v>
      </c>
      <c r="I8" s="42">
        <f t="shared" ca="1" si="0"/>
        <v>46324.99402395833</v>
      </c>
    </row>
    <row r="9" spans="1:9" x14ac:dyDescent="0.3">
      <c r="A9" s="2" t="s">
        <v>31</v>
      </c>
      <c r="B9" s="2" t="s">
        <v>18</v>
      </c>
      <c r="C9" s="2" t="s">
        <v>27</v>
      </c>
      <c r="D9" s="20">
        <v>1074.47</v>
      </c>
      <c r="E9" s="6">
        <v>6</v>
      </c>
      <c r="F9" s="8">
        <v>0.2</v>
      </c>
      <c r="G9" s="7">
        <v>45401</v>
      </c>
      <c r="H9" s="41">
        <v>300.85000000000002</v>
      </c>
      <c r="I9" s="42">
        <f t="shared" ca="1" si="0"/>
        <v>46324.99402395833</v>
      </c>
    </row>
    <row r="10" spans="1:9" x14ac:dyDescent="0.3">
      <c r="A10" s="10" t="s">
        <v>33</v>
      </c>
      <c r="B10" s="10" t="s">
        <v>34</v>
      </c>
      <c r="C10" s="10" t="s">
        <v>12</v>
      </c>
      <c r="D10" s="19">
        <v>501.54</v>
      </c>
      <c r="E10" s="11">
        <v>11</v>
      </c>
      <c r="F10" s="12">
        <v>0.05</v>
      </c>
      <c r="G10" s="13">
        <v>45401</v>
      </c>
      <c r="H10" s="40">
        <v>190.59</v>
      </c>
      <c r="I10" s="42">
        <f t="shared" ca="1" si="0"/>
        <v>46324.99402395833</v>
      </c>
    </row>
    <row r="11" spans="1:9" x14ac:dyDescent="0.3">
      <c r="A11" s="2" t="s">
        <v>36</v>
      </c>
      <c r="B11" s="2" t="s">
        <v>34</v>
      </c>
      <c r="C11" s="2" t="s">
        <v>15</v>
      </c>
      <c r="D11" s="20">
        <v>737.31</v>
      </c>
      <c r="E11" s="6">
        <v>2</v>
      </c>
      <c r="F11" s="8">
        <v>0.05</v>
      </c>
      <c r="G11" s="7">
        <v>45401</v>
      </c>
      <c r="H11" s="41">
        <v>350.22</v>
      </c>
      <c r="I11" s="42">
        <f t="shared" ca="1" si="0"/>
        <v>46324.99402395833</v>
      </c>
    </row>
    <row r="12" spans="1:9" x14ac:dyDescent="0.3">
      <c r="A12" s="10" t="s">
        <v>38</v>
      </c>
      <c r="B12" s="10" t="s">
        <v>11</v>
      </c>
      <c r="C12" s="10" t="s">
        <v>39</v>
      </c>
      <c r="D12" s="19">
        <v>1572.82</v>
      </c>
      <c r="E12" s="11">
        <v>6</v>
      </c>
      <c r="F12" s="12">
        <v>0.05</v>
      </c>
      <c r="G12" s="13">
        <v>45402</v>
      </c>
      <c r="H12" s="40">
        <v>672.38</v>
      </c>
      <c r="I12" s="42">
        <f t="shared" ca="1" si="0"/>
        <v>46324.99402395833</v>
      </c>
    </row>
    <row r="13" spans="1:9" x14ac:dyDescent="0.3">
      <c r="A13" s="2" t="s">
        <v>36</v>
      </c>
      <c r="B13" s="2" t="s">
        <v>34</v>
      </c>
      <c r="C13" s="2" t="s">
        <v>12</v>
      </c>
      <c r="D13" s="20">
        <v>1343.13</v>
      </c>
      <c r="E13" s="6">
        <v>14</v>
      </c>
      <c r="F13" s="8">
        <v>0.15</v>
      </c>
      <c r="G13" s="7">
        <v>45404</v>
      </c>
      <c r="H13" s="41">
        <v>456.66</v>
      </c>
      <c r="I13" s="42">
        <f t="shared" ca="1" si="0"/>
        <v>46324.99402395833</v>
      </c>
    </row>
    <row r="14" spans="1:9" x14ac:dyDescent="0.3">
      <c r="A14" s="10" t="s">
        <v>26</v>
      </c>
      <c r="B14" s="10" t="s">
        <v>34</v>
      </c>
      <c r="C14" s="10" t="s">
        <v>12</v>
      </c>
      <c r="D14" s="19">
        <v>1191.58</v>
      </c>
      <c r="E14" s="11">
        <v>14</v>
      </c>
      <c r="F14" s="12">
        <v>0.05</v>
      </c>
      <c r="G14" s="13">
        <v>45406</v>
      </c>
      <c r="H14" s="40">
        <v>452.8</v>
      </c>
      <c r="I14" s="42">
        <f t="shared" ca="1" si="0"/>
        <v>46324.99402395833</v>
      </c>
    </row>
    <row r="15" spans="1:9" x14ac:dyDescent="0.3">
      <c r="A15" s="2" t="s">
        <v>14</v>
      </c>
      <c r="B15" s="2" t="s">
        <v>11</v>
      </c>
      <c r="C15" s="2" t="s">
        <v>27</v>
      </c>
      <c r="D15" s="20">
        <v>822.28</v>
      </c>
      <c r="E15" s="6">
        <v>7</v>
      </c>
      <c r="F15" s="8">
        <v>0.05</v>
      </c>
      <c r="G15" s="7">
        <v>45406</v>
      </c>
      <c r="H15" s="41">
        <v>273.41000000000003</v>
      </c>
      <c r="I15" s="42">
        <f t="shared" ca="1" si="0"/>
        <v>46324.99402395833</v>
      </c>
    </row>
    <row r="16" spans="1:9" x14ac:dyDescent="0.3">
      <c r="A16" s="10" t="s">
        <v>42</v>
      </c>
      <c r="B16" s="10" t="s">
        <v>24</v>
      </c>
      <c r="C16" s="10" t="s">
        <v>27</v>
      </c>
      <c r="D16" s="19">
        <v>521.66999999999996</v>
      </c>
      <c r="E16" s="11">
        <v>15</v>
      </c>
      <c r="F16" s="12">
        <v>0.15</v>
      </c>
      <c r="G16" s="13">
        <v>45409</v>
      </c>
      <c r="H16" s="40">
        <v>155.19999999999999</v>
      </c>
      <c r="I16" s="42">
        <f t="shared" ca="1" si="0"/>
        <v>46324.99402395833</v>
      </c>
    </row>
    <row r="17" spans="1:9" x14ac:dyDescent="0.3">
      <c r="A17" s="2" t="s">
        <v>43</v>
      </c>
      <c r="B17" s="2" t="s">
        <v>20</v>
      </c>
      <c r="C17" s="2" t="s">
        <v>21</v>
      </c>
      <c r="D17" s="20">
        <v>1502.93</v>
      </c>
      <c r="E17" s="6">
        <v>14</v>
      </c>
      <c r="F17" s="8">
        <v>0.2</v>
      </c>
      <c r="G17" s="7">
        <v>45410</v>
      </c>
      <c r="H17" s="41">
        <v>300.58999999999997</v>
      </c>
      <c r="I17" s="42">
        <f t="shared" ca="1" si="0"/>
        <v>46324.99402395833</v>
      </c>
    </row>
    <row r="18" spans="1:9" x14ac:dyDescent="0.3">
      <c r="A18" s="10" t="s">
        <v>14</v>
      </c>
      <c r="B18" s="10" t="s">
        <v>20</v>
      </c>
      <c r="C18" s="10" t="s">
        <v>12</v>
      </c>
      <c r="D18" s="19">
        <v>877.58</v>
      </c>
      <c r="E18" s="11">
        <v>10</v>
      </c>
      <c r="F18" s="12">
        <v>0.15</v>
      </c>
      <c r="G18" s="13">
        <v>45411</v>
      </c>
      <c r="H18" s="40">
        <v>298.38</v>
      </c>
      <c r="I18" s="42">
        <f t="shared" ca="1" si="0"/>
        <v>46324.99402395833</v>
      </c>
    </row>
    <row r="19" spans="1:9" x14ac:dyDescent="0.3">
      <c r="A19" s="2" t="s">
        <v>45</v>
      </c>
      <c r="B19" s="2" t="s">
        <v>11</v>
      </c>
      <c r="C19" s="2" t="s">
        <v>12</v>
      </c>
      <c r="D19" s="20">
        <v>636.70000000000005</v>
      </c>
      <c r="E19" s="6">
        <v>4</v>
      </c>
      <c r="F19" s="8">
        <v>0.2</v>
      </c>
      <c r="G19" s="7">
        <v>45411</v>
      </c>
      <c r="H19" s="41">
        <v>203.74</v>
      </c>
      <c r="I19" s="42">
        <f t="shared" ca="1" si="0"/>
        <v>46324.99402395833</v>
      </c>
    </row>
    <row r="20" spans="1:9" x14ac:dyDescent="0.3">
      <c r="A20" s="10" t="s">
        <v>47</v>
      </c>
      <c r="B20" s="10" t="s">
        <v>11</v>
      </c>
      <c r="C20" s="10" t="s">
        <v>12</v>
      </c>
      <c r="D20" s="19">
        <v>1506.14</v>
      </c>
      <c r="E20" s="11">
        <v>13</v>
      </c>
      <c r="F20" s="12">
        <v>0.2</v>
      </c>
      <c r="G20" s="13">
        <v>45412</v>
      </c>
      <c r="H20" s="40">
        <v>481.96</v>
      </c>
      <c r="I20" s="42">
        <f t="shared" ca="1" si="0"/>
        <v>46324.99402395833</v>
      </c>
    </row>
    <row r="21" spans="1:9" x14ac:dyDescent="0.3">
      <c r="A21" s="2" t="s">
        <v>31</v>
      </c>
      <c r="B21" s="2" t="s">
        <v>34</v>
      </c>
      <c r="C21" s="2" t="s">
        <v>21</v>
      </c>
      <c r="D21" s="20">
        <v>645.02</v>
      </c>
      <c r="E21" s="6">
        <v>4</v>
      </c>
      <c r="F21" s="8">
        <v>0</v>
      </c>
      <c r="G21" s="7">
        <v>45414</v>
      </c>
      <c r="H21" s="41">
        <v>161.26</v>
      </c>
      <c r="I21" s="42">
        <f t="shared" ca="1" si="0"/>
        <v>46324.99402395833</v>
      </c>
    </row>
    <row r="22" spans="1:9" x14ac:dyDescent="0.3">
      <c r="A22" s="10" t="s">
        <v>48</v>
      </c>
      <c r="B22" s="10" t="s">
        <v>20</v>
      </c>
      <c r="C22" s="10" t="s">
        <v>15</v>
      </c>
      <c r="D22" s="19">
        <v>953.3</v>
      </c>
      <c r="E22" s="11">
        <v>11</v>
      </c>
      <c r="F22" s="12">
        <v>0</v>
      </c>
      <c r="G22" s="13">
        <v>45415</v>
      </c>
      <c r="H22" s="40">
        <v>476.65</v>
      </c>
      <c r="I22" s="42">
        <f t="shared" ca="1" si="0"/>
        <v>46324.99402395833</v>
      </c>
    </row>
    <row r="23" spans="1:9" x14ac:dyDescent="0.3">
      <c r="A23" s="2" t="s">
        <v>14</v>
      </c>
      <c r="B23" s="2" t="s">
        <v>24</v>
      </c>
      <c r="C23" s="2" t="s">
        <v>21</v>
      </c>
      <c r="D23" s="20">
        <v>388.56</v>
      </c>
      <c r="E23" s="6">
        <v>14</v>
      </c>
      <c r="F23" s="8">
        <v>0.15</v>
      </c>
      <c r="G23" s="7">
        <v>45416</v>
      </c>
      <c r="H23" s="41">
        <v>82.57</v>
      </c>
      <c r="I23" s="42">
        <f t="shared" ca="1" si="0"/>
        <v>46324.99402395833</v>
      </c>
    </row>
    <row r="24" spans="1:9" x14ac:dyDescent="0.3">
      <c r="A24" s="10" t="s">
        <v>31</v>
      </c>
      <c r="B24" s="10" t="s">
        <v>11</v>
      </c>
      <c r="C24" s="10" t="s">
        <v>12</v>
      </c>
      <c r="D24" s="19">
        <v>743.17</v>
      </c>
      <c r="E24" s="11">
        <v>9</v>
      </c>
      <c r="F24" s="12">
        <v>0</v>
      </c>
      <c r="G24" s="13">
        <v>45416</v>
      </c>
      <c r="H24" s="40">
        <v>297.27</v>
      </c>
      <c r="I24" s="42">
        <f t="shared" ca="1" si="0"/>
        <v>46324.99402395833</v>
      </c>
    </row>
    <row r="25" spans="1:9" x14ac:dyDescent="0.3">
      <c r="A25" s="2" t="s">
        <v>31</v>
      </c>
      <c r="B25" s="2" t="s">
        <v>34</v>
      </c>
      <c r="C25" s="2" t="s">
        <v>21</v>
      </c>
      <c r="D25" s="20">
        <v>706.37</v>
      </c>
      <c r="E25" s="6">
        <v>6</v>
      </c>
      <c r="F25" s="8">
        <v>0</v>
      </c>
      <c r="G25" s="7">
        <v>45416</v>
      </c>
      <c r="H25" s="41">
        <v>176.59</v>
      </c>
      <c r="I25" s="42">
        <f t="shared" ca="1" si="0"/>
        <v>46324.99402395833</v>
      </c>
    </row>
    <row r="26" spans="1:9" x14ac:dyDescent="0.3">
      <c r="A26" s="10" t="s">
        <v>31</v>
      </c>
      <c r="B26" s="10" t="s">
        <v>34</v>
      </c>
      <c r="C26" s="10" t="s">
        <v>39</v>
      </c>
      <c r="D26" s="19">
        <v>925.31</v>
      </c>
      <c r="E26" s="11">
        <v>8</v>
      </c>
      <c r="F26" s="12">
        <v>0.1</v>
      </c>
      <c r="G26" s="13">
        <v>45418</v>
      </c>
      <c r="H26" s="40">
        <v>374.75</v>
      </c>
      <c r="I26" s="42">
        <f t="shared" ca="1" si="0"/>
        <v>46324.99402395833</v>
      </c>
    </row>
    <row r="27" spans="1:9" x14ac:dyDescent="0.3">
      <c r="A27" s="2" t="s">
        <v>50</v>
      </c>
      <c r="B27" s="2" t="s">
        <v>20</v>
      </c>
      <c r="C27" s="2" t="s">
        <v>21</v>
      </c>
      <c r="D27" s="20">
        <v>1173.1199999999999</v>
      </c>
      <c r="E27" s="6">
        <v>18</v>
      </c>
      <c r="F27" s="8">
        <v>0</v>
      </c>
      <c r="G27" s="7">
        <v>45418</v>
      </c>
      <c r="H27" s="41">
        <v>293.27999999999997</v>
      </c>
      <c r="I27" s="42">
        <f t="shared" ca="1" si="0"/>
        <v>46324.99402395833</v>
      </c>
    </row>
    <row r="28" spans="1:9" x14ac:dyDescent="0.3">
      <c r="A28" s="10" t="s">
        <v>51</v>
      </c>
      <c r="B28" s="10" t="s">
        <v>24</v>
      </c>
      <c r="C28" s="10" t="s">
        <v>27</v>
      </c>
      <c r="D28" s="19">
        <v>675.54</v>
      </c>
      <c r="E28" s="11">
        <v>17</v>
      </c>
      <c r="F28" s="12">
        <v>0</v>
      </c>
      <c r="G28" s="13">
        <v>45420</v>
      </c>
      <c r="H28" s="40">
        <v>236.44</v>
      </c>
      <c r="I28" s="42">
        <f t="shared" ca="1" si="0"/>
        <v>46324.99402395833</v>
      </c>
    </row>
    <row r="29" spans="1:9" x14ac:dyDescent="0.3">
      <c r="A29" s="2" t="s">
        <v>14</v>
      </c>
      <c r="B29" s="2" t="s">
        <v>34</v>
      </c>
      <c r="C29" s="2" t="s">
        <v>12</v>
      </c>
      <c r="D29" s="20">
        <v>939.09</v>
      </c>
      <c r="E29" s="6">
        <v>2</v>
      </c>
      <c r="F29" s="8">
        <v>0.05</v>
      </c>
      <c r="G29" s="7">
        <v>45422</v>
      </c>
      <c r="H29" s="41">
        <v>356.85</v>
      </c>
      <c r="I29" s="42">
        <f t="shared" ca="1" si="0"/>
        <v>46324.99402395833</v>
      </c>
    </row>
    <row r="30" spans="1:9" x14ac:dyDescent="0.3">
      <c r="A30" s="10" t="s">
        <v>53</v>
      </c>
      <c r="B30" s="10" t="s">
        <v>18</v>
      </c>
      <c r="C30" s="10" t="s">
        <v>39</v>
      </c>
      <c r="D30" s="19">
        <v>983.34</v>
      </c>
      <c r="E30" s="11">
        <v>19</v>
      </c>
      <c r="F30" s="12">
        <v>0.1</v>
      </c>
      <c r="G30" s="13">
        <v>45426</v>
      </c>
      <c r="H30" s="40">
        <v>398.25</v>
      </c>
      <c r="I30" s="42">
        <f t="shared" ca="1" si="0"/>
        <v>46324.99402395833</v>
      </c>
    </row>
    <row r="31" spans="1:9" x14ac:dyDescent="0.3">
      <c r="A31" s="2" t="s">
        <v>23</v>
      </c>
      <c r="B31" s="2" t="s">
        <v>20</v>
      </c>
      <c r="C31" s="2" t="s">
        <v>21</v>
      </c>
      <c r="D31" s="20">
        <v>801.21</v>
      </c>
      <c r="E31" s="6">
        <v>3</v>
      </c>
      <c r="F31" s="8">
        <v>0.2</v>
      </c>
      <c r="G31" s="7">
        <v>45426</v>
      </c>
      <c r="H31" s="41">
        <v>160.24</v>
      </c>
      <c r="I31" s="42">
        <f t="shared" ca="1" si="0"/>
        <v>46324.99402395833</v>
      </c>
    </row>
    <row r="32" spans="1:9" x14ac:dyDescent="0.3">
      <c r="A32" s="10" t="s">
        <v>55</v>
      </c>
      <c r="B32" s="10" t="s">
        <v>24</v>
      </c>
      <c r="C32" s="10" t="s">
        <v>21</v>
      </c>
      <c r="D32" s="19">
        <v>1450.71</v>
      </c>
      <c r="E32" s="11">
        <v>5</v>
      </c>
      <c r="F32" s="12">
        <v>0.1</v>
      </c>
      <c r="G32" s="13">
        <v>45427</v>
      </c>
      <c r="H32" s="40">
        <v>326.41000000000003</v>
      </c>
      <c r="I32" s="42">
        <f t="shared" ca="1" si="0"/>
        <v>46324.99402395833</v>
      </c>
    </row>
    <row r="33" spans="1:9" x14ac:dyDescent="0.3">
      <c r="A33" s="2" t="s">
        <v>56</v>
      </c>
      <c r="B33" s="2" t="s">
        <v>34</v>
      </c>
      <c r="C33" s="2" t="s">
        <v>12</v>
      </c>
      <c r="D33" s="20">
        <v>1023.21</v>
      </c>
      <c r="E33" s="6">
        <v>18</v>
      </c>
      <c r="F33" s="8">
        <v>0.05</v>
      </c>
      <c r="G33" s="7">
        <v>45428</v>
      </c>
      <c r="H33" s="41">
        <v>388.82</v>
      </c>
      <c r="I33" s="42">
        <f t="shared" ca="1" si="0"/>
        <v>46324.99402395833</v>
      </c>
    </row>
    <row r="34" spans="1:9" x14ac:dyDescent="0.3">
      <c r="A34" s="10" t="s">
        <v>47</v>
      </c>
      <c r="B34" s="10" t="s">
        <v>11</v>
      </c>
      <c r="C34" s="10" t="s">
        <v>27</v>
      </c>
      <c r="D34" s="19">
        <v>853.72</v>
      </c>
      <c r="E34" s="11">
        <v>5</v>
      </c>
      <c r="F34" s="12">
        <v>0.15</v>
      </c>
      <c r="G34" s="13">
        <v>45428</v>
      </c>
      <c r="H34" s="40">
        <v>253.98</v>
      </c>
      <c r="I34" s="42">
        <f t="shared" ref="I34:I65" ca="1" si="1">NOW()</f>
        <v>46324.99402395833</v>
      </c>
    </row>
    <row r="35" spans="1:9" x14ac:dyDescent="0.3">
      <c r="A35" s="2" t="s">
        <v>43</v>
      </c>
      <c r="B35" s="2" t="s">
        <v>20</v>
      </c>
      <c r="C35" s="2" t="s">
        <v>21</v>
      </c>
      <c r="D35" s="20">
        <v>967.89</v>
      </c>
      <c r="E35" s="6">
        <v>10</v>
      </c>
      <c r="F35" s="8">
        <v>0.1</v>
      </c>
      <c r="G35" s="7">
        <v>45429</v>
      </c>
      <c r="H35" s="41">
        <v>217.78</v>
      </c>
      <c r="I35" s="42">
        <f t="shared" ca="1" si="1"/>
        <v>46324.99402395833</v>
      </c>
    </row>
    <row r="36" spans="1:9" x14ac:dyDescent="0.3">
      <c r="A36" s="10" t="s">
        <v>53</v>
      </c>
      <c r="B36" s="10" t="s">
        <v>24</v>
      </c>
      <c r="C36" s="10" t="s">
        <v>39</v>
      </c>
      <c r="D36" s="19">
        <v>1200.9000000000001</v>
      </c>
      <c r="E36" s="11">
        <v>14</v>
      </c>
      <c r="F36" s="12">
        <v>0.05</v>
      </c>
      <c r="G36" s="13">
        <v>45429</v>
      </c>
      <c r="H36" s="40">
        <v>513.38</v>
      </c>
      <c r="I36" s="42">
        <f t="shared" ca="1" si="1"/>
        <v>46324.99402395833</v>
      </c>
    </row>
    <row r="37" spans="1:9" x14ac:dyDescent="0.3">
      <c r="A37" s="2" t="s">
        <v>26</v>
      </c>
      <c r="B37" s="2" t="s">
        <v>11</v>
      </c>
      <c r="C37" s="2" t="s">
        <v>12</v>
      </c>
      <c r="D37" s="20">
        <v>472.38</v>
      </c>
      <c r="E37" s="6">
        <v>12</v>
      </c>
      <c r="F37" s="8">
        <v>0.2</v>
      </c>
      <c r="G37" s="7">
        <v>45429</v>
      </c>
      <c r="H37" s="41">
        <v>151.16</v>
      </c>
      <c r="I37" s="42">
        <f t="shared" ca="1" si="1"/>
        <v>46324.99402395833</v>
      </c>
    </row>
    <row r="38" spans="1:9" x14ac:dyDescent="0.3">
      <c r="A38" s="10" t="s">
        <v>55</v>
      </c>
      <c r="B38" s="10" t="s">
        <v>18</v>
      </c>
      <c r="C38" s="10" t="s">
        <v>39</v>
      </c>
      <c r="D38" s="19">
        <v>840.92</v>
      </c>
      <c r="E38" s="11">
        <v>9</v>
      </c>
      <c r="F38" s="12">
        <v>0.05</v>
      </c>
      <c r="G38" s="13">
        <v>45429</v>
      </c>
      <c r="H38" s="40">
        <v>359.49</v>
      </c>
      <c r="I38" s="42">
        <f t="shared" ca="1" si="1"/>
        <v>46324.99402395833</v>
      </c>
    </row>
    <row r="39" spans="1:9" x14ac:dyDescent="0.3">
      <c r="A39" s="2" t="s">
        <v>48</v>
      </c>
      <c r="B39" s="2" t="s">
        <v>34</v>
      </c>
      <c r="C39" s="2" t="s">
        <v>27</v>
      </c>
      <c r="D39" s="20">
        <v>1410.06</v>
      </c>
      <c r="E39" s="6">
        <v>11</v>
      </c>
      <c r="F39" s="8">
        <v>0.05</v>
      </c>
      <c r="G39" s="7">
        <v>45434</v>
      </c>
      <c r="H39" s="41">
        <v>468.84</v>
      </c>
      <c r="I39" s="42">
        <f t="shared" ca="1" si="1"/>
        <v>46324.99402395833</v>
      </c>
    </row>
    <row r="40" spans="1:9" x14ac:dyDescent="0.3">
      <c r="A40" s="10" t="s">
        <v>59</v>
      </c>
      <c r="B40" s="10" t="s">
        <v>34</v>
      </c>
      <c r="C40" s="10" t="s">
        <v>27</v>
      </c>
      <c r="D40" s="19">
        <v>773.09</v>
      </c>
      <c r="E40" s="11">
        <v>13</v>
      </c>
      <c r="F40" s="12">
        <v>0.15</v>
      </c>
      <c r="G40" s="13">
        <v>45434</v>
      </c>
      <c r="H40" s="40">
        <v>229.99</v>
      </c>
      <c r="I40" s="42">
        <f t="shared" ca="1" si="1"/>
        <v>46324.99402395833</v>
      </c>
    </row>
    <row r="41" spans="1:9" x14ac:dyDescent="0.3">
      <c r="A41" s="2" t="s">
        <v>61</v>
      </c>
      <c r="B41" s="2" t="s">
        <v>18</v>
      </c>
      <c r="C41" s="2" t="s">
        <v>12</v>
      </c>
      <c r="D41" s="20">
        <v>580.42999999999995</v>
      </c>
      <c r="E41" s="6">
        <v>19</v>
      </c>
      <c r="F41" s="8">
        <v>0.15</v>
      </c>
      <c r="G41" s="7">
        <v>45435</v>
      </c>
      <c r="H41" s="41">
        <v>197.35</v>
      </c>
      <c r="I41" s="42">
        <f t="shared" ca="1" si="1"/>
        <v>46324.99402395833</v>
      </c>
    </row>
    <row r="42" spans="1:9" x14ac:dyDescent="0.3">
      <c r="A42" s="10" t="s">
        <v>42</v>
      </c>
      <c r="B42" s="10" t="s">
        <v>20</v>
      </c>
      <c r="C42" s="10" t="s">
        <v>12</v>
      </c>
      <c r="D42" s="19">
        <v>1151.21</v>
      </c>
      <c r="E42" s="11">
        <v>15</v>
      </c>
      <c r="F42" s="12">
        <v>0.1</v>
      </c>
      <c r="G42" s="13">
        <v>45445</v>
      </c>
      <c r="H42" s="40">
        <v>414.44</v>
      </c>
      <c r="I42" s="42">
        <f t="shared" ca="1" si="1"/>
        <v>46324.99402395833</v>
      </c>
    </row>
    <row r="43" spans="1:9" x14ac:dyDescent="0.3">
      <c r="A43" s="2" t="s">
        <v>23</v>
      </c>
      <c r="B43" s="2" t="s">
        <v>34</v>
      </c>
      <c r="C43" s="2" t="s">
        <v>39</v>
      </c>
      <c r="D43" s="20">
        <v>1025.98</v>
      </c>
      <c r="E43" s="6">
        <v>5</v>
      </c>
      <c r="F43" s="8">
        <v>0.2</v>
      </c>
      <c r="G43" s="7">
        <v>45447</v>
      </c>
      <c r="H43" s="41">
        <v>369.35</v>
      </c>
      <c r="I43" s="42">
        <f t="shared" ca="1" si="1"/>
        <v>46324.99402395833</v>
      </c>
    </row>
    <row r="44" spans="1:9" x14ac:dyDescent="0.3">
      <c r="A44" s="10" t="s">
        <v>56</v>
      </c>
      <c r="B44" s="10" t="s">
        <v>18</v>
      </c>
      <c r="C44" s="10" t="s">
        <v>39</v>
      </c>
      <c r="D44" s="19">
        <v>556.41999999999996</v>
      </c>
      <c r="E44" s="11">
        <v>11</v>
      </c>
      <c r="F44" s="12">
        <v>0.15</v>
      </c>
      <c r="G44" s="13">
        <v>45447</v>
      </c>
      <c r="H44" s="40">
        <v>212.83</v>
      </c>
      <c r="I44" s="42">
        <f t="shared" ca="1" si="1"/>
        <v>46324.99402395833</v>
      </c>
    </row>
    <row r="45" spans="1:9" x14ac:dyDescent="0.3">
      <c r="A45" s="2" t="s">
        <v>23</v>
      </c>
      <c r="B45" s="2" t="s">
        <v>34</v>
      </c>
      <c r="C45" s="2" t="s">
        <v>12</v>
      </c>
      <c r="D45" s="20">
        <v>840.85</v>
      </c>
      <c r="E45" s="6">
        <v>19</v>
      </c>
      <c r="F45" s="8">
        <v>0.1</v>
      </c>
      <c r="G45" s="7">
        <v>45448</v>
      </c>
      <c r="H45" s="41">
        <v>302.70999999999998</v>
      </c>
      <c r="I45" s="42">
        <f t="shared" ca="1" si="1"/>
        <v>46324.99402395833</v>
      </c>
    </row>
    <row r="46" spans="1:9" x14ac:dyDescent="0.3">
      <c r="A46" s="10" t="s">
        <v>61</v>
      </c>
      <c r="B46" s="10" t="s">
        <v>24</v>
      </c>
      <c r="C46" s="10" t="s">
        <v>27</v>
      </c>
      <c r="D46" s="19">
        <v>1227.25</v>
      </c>
      <c r="E46" s="11">
        <v>12</v>
      </c>
      <c r="F46" s="12">
        <v>0.15</v>
      </c>
      <c r="G46" s="13">
        <v>45448</v>
      </c>
      <c r="H46" s="40">
        <v>365.11</v>
      </c>
      <c r="I46" s="42">
        <f t="shared" ca="1" si="1"/>
        <v>46324.99402395833</v>
      </c>
    </row>
    <row r="47" spans="1:9" x14ac:dyDescent="0.3">
      <c r="A47" s="2" t="s">
        <v>62</v>
      </c>
      <c r="B47" s="2" t="s">
        <v>34</v>
      </c>
      <c r="C47" s="2" t="s">
        <v>21</v>
      </c>
      <c r="D47" s="20">
        <v>856.7</v>
      </c>
      <c r="E47" s="6">
        <v>2</v>
      </c>
      <c r="F47" s="8">
        <v>0</v>
      </c>
      <c r="G47" s="7">
        <v>45449</v>
      </c>
      <c r="H47" s="41">
        <v>214.18</v>
      </c>
      <c r="I47" s="42">
        <f t="shared" ca="1" si="1"/>
        <v>46324.99402395833</v>
      </c>
    </row>
    <row r="48" spans="1:9" x14ac:dyDescent="0.3">
      <c r="A48" s="10" t="s">
        <v>56</v>
      </c>
      <c r="B48" s="10" t="s">
        <v>34</v>
      </c>
      <c r="C48" s="10" t="s">
        <v>39</v>
      </c>
      <c r="D48" s="19">
        <v>1225.42</v>
      </c>
      <c r="E48" s="11">
        <v>8</v>
      </c>
      <c r="F48" s="12">
        <v>0.15</v>
      </c>
      <c r="G48" s="13">
        <v>45449</v>
      </c>
      <c r="H48" s="40">
        <v>468.72</v>
      </c>
      <c r="I48" s="42">
        <f t="shared" ca="1" si="1"/>
        <v>46324.99402395833</v>
      </c>
    </row>
    <row r="49" spans="1:9" x14ac:dyDescent="0.3">
      <c r="A49" s="2" t="s">
        <v>31</v>
      </c>
      <c r="B49" s="2" t="s">
        <v>24</v>
      </c>
      <c r="C49" s="2" t="s">
        <v>39</v>
      </c>
      <c r="D49" s="20">
        <v>1001.57</v>
      </c>
      <c r="E49" s="6">
        <v>12</v>
      </c>
      <c r="F49" s="8">
        <v>0</v>
      </c>
      <c r="G49" s="7">
        <v>45450</v>
      </c>
      <c r="H49" s="41">
        <v>450.71</v>
      </c>
      <c r="I49" s="42">
        <f t="shared" ca="1" si="1"/>
        <v>46324.99402395833</v>
      </c>
    </row>
    <row r="50" spans="1:9" x14ac:dyDescent="0.3">
      <c r="A50" s="10" t="s">
        <v>26</v>
      </c>
      <c r="B50" s="10" t="s">
        <v>18</v>
      </c>
      <c r="C50" s="10" t="s">
        <v>27</v>
      </c>
      <c r="D50" s="19">
        <v>1186.8499999999999</v>
      </c>
      <c r="E50" s="11">
        <v>19</v>
      </c>
      <c r="F50" s="12">
        <v>0.2</v>
      </c>
      <c r="G50" s="13">
        <v>45451</v>
      </c>
      <c r="H50" s="40">
        <v>332.32</v>
      </c>
      <c r="I50" s="42">
        <f t="shared" ca="1" si="1"/>
        <v>46324.99402395833</v>
      </c>
    </row>
    <row r="51" spans="1:9" x14ac:dyDescent="0.3">
      <c r="A51" s="2" t="s">
        <v>51</v>
      </c>
      <c r="B51" s="2" t="s">
        <v>20</v>
      </c>
      <c r="C51" s="2" t="s">
        <v>21</v>
      </c>
      <c r="D51" s="20">
        <v>775.45</v>
      </c>
      <c r="E51" s="6">
        <v>6</v>
      </c>
      <c r="F51" s="8">
        <v>0.1</v>
      </c>
      <c r="G51" s="7">
        <v>45457</v>
      </c>
      <c r="H51" s="41">
        <v>174.48</v>
      </c>
      <c r="I51" s="42">
        <f t="shared" ca="1" si="1"/>
        <v>46324.99402395833</v>
      </c>
    </row>
    <row r="52" spans="1:9" x14ac:dyDescent="0.3">
      <c r="A52" s="10" t="s">
        <v>33</v>
      </c>
      <c r="B52" s="10" t="s">
        <v>20</v>
      </c>
      <c r="C52" s="10" t="s">
        <v>21</v>
      </c>
      <c r="D52" s="19">
        <v>1021.47</v>
      </c>
      <c r="E52" s="11">
        <v>6</v>
      </c>
      <c r="F52" s="12">
        <v>0.05</v>
      </c>
      <c r="G52" s="13">
        <v>45461</v>
      </c>
      <c r="H52" s="40">
        <v>242.6</v>
      </c>
      <c r="I52" s="42">
        <f t="shared" ca="1" si="1"/>
        <v>46324.99402395833</v>
      </c>
    </row>
    <row r="53" spans="1:9" x14ac:dyDescent="0.3">
      <c r="A53" s="2" t="s">
        <v>23</v>
      </c>
      <c r="B53" s="2" t="s">
        <v>20</v>
      </c>
      <c r="C53" s="2" t="s">
        <v>15</v>
      </c>
      <c r="D53" s="20">
        <v>1226.6199999999999</v>
      </c>
      <c r="E53" s="6">
        <v>7</v>
      </c>
      <c r="F53" s="8">
        <v>0.1</v>
      </c>
      <c r="G53" s="7">
        <v>45463</v>
      </c>
      <c r="H53" s="41">
        <v>551.98</v>
      </c>
      <c r="I53" s="42">
        <f t="shared" ca="1" si="1"/>
        <v>46324.99402395833</v>
      </c>
    </row>
    <row r="54" spans="1:9" x14ac:dyDescent="0.3">
      <c r="A54" s="10" t="s">
        <v>64</v>
      </c>
      <c r="B54" s="10" t="s">
        <v>20</v>
      </c>
      <c r="C54" s="10" t="s">
        <v>27</v>
      </c>
      <c r="D54" s="19">
        <v>1086.93</v>
      </c>
      <c r="E54" s="11">
        <v>2</v>
      </c>
      <c r="F54" s="12">
        <v>0</v>
      </c>
      <c r="G54" s="13">
        <v>45464</v>
      </c>
      <c r="H54" s="40">
        <v>380.43</v>
      </c>
      <c r="I54" s="42">
        <f t="shared" ca="1" si="1"/>
        <v>46324.99402395833</v>
      </c>
    </row>
    <row r="55" spans="1:9" x14ac:dyDescent="0.3">
      <c r="A55" s="2" t="s">
        <v>48</v>
      </c>
      <c r="B55" s="2" t="s">
        <v>11</v>
      </c>
      <c r="C55" s="2" t="s">
        <v>12</v>
      </c>
      <c r="D55" s="20">
        <v>942.9</v>
      </c>
      <c r="E55" s="6">
        <v>18</v>
      </c>
      <c r="F55" s="8">
        <v>0.1</v>
      </c>
      <c r="G55" s="7">
        <v>45466</v>
      </c>
      <c r="H55" s="41">
        <v>339.44</v>
      </c>
      <c r="I55" s="42">
        <f t="shared" ca="1" si="1"/>
        <v>46324.99402395833</v>
      </c>
    </row>
    <row r="56" spans="1:9" x14ac:dyDescent="0.3">
      <c r="A56" s="10" t="s">
        <v>38</v>
      </c>
      <c r="B56" s="10" t="s">
        <v>24</v>
      </c>
      <c r="C56" s="10" t="s">
        <v>21</v>
      </c>
      <c r="D56" s="19">
        <v>818.8</v>
      </c>
      <c r="E56" s="11">
        <v>15</v>
      </c>
      <c r="F56" s="12">
        <v>0.15</v>
      </c>
      <c r="G56" s="13">
        <v>45468</v>
      </c>
      <c r="H56" s="40">
        <v>173.99</v>
      </c>
      <c r="I56" s="42">
        <f t="shared" ca="1" si="1"/>
        <v>46324.99402395833</v>
      </c>
    </row>
    <row r="57" spans="1:9" x14ac:dyDescent="0.3">
      <c r="A57" s="2" t="s">
        <v>14</v>
      </c>
      <c r="B57" s="2" t="s">
        <v>20</v>
      </c>
      <c r="C57" s="2" t="s">
        <v>27</v>
      </c>
      <c r="D57" s="20">
        <v>919.04</v>
      </c>
      <c r="E57" s="6">
        <v>10</v>
      </c>
      <c r="F57" s="8">
        <v>0.2</v>
      </c>
      <c r="G57" s="7">
        <v>45468</v>
      </c>
      <c r="H57" s="41">
        <v>257.33</v>
      </c>
      <c r="I57" s="42">
        <f t="shared" ca="1" si="1"/>
        <v>46324.99402395833</v>
      </c>
    </row>
    <row r="58" spans="1:9" x14ac:dyDescent="0.3">
      <c r="A58" s="10" t="s">
        <v>66</v>
      </c>
      <c r="B58" s="10" t="s">
        <v>34</v>
      </c>
      <c r="C58" s="10" t="s">
        <v>12</v>
      </c>
      <c r="D58" s="19">
        <v>973.26</v>
      </c>
      <c r="E58" s="11">
        <v>11</v>
      </c>
      <c r="F58" s="12">
        <v>0</v>
      </c>
      <c r="G58" s="13">
        <v>45470</v>
      </c>
      <c r="H58" s="40">
        <v>389.3</v>
      </c>
      <c r="I58" s="42">
        <f t="shared" ca="1" si="1"/>
        <v>46324.99402395833</v>
      </c>
    </row>
    <row r="59" spans="1:9" x14ac:dyDescent="0.3">
      <c r="A59" s="2" t="s">
        <v>64</v>
      </c>
      <c r="B59" s="2" t="s">
        <v>24</v>
      </c>
      <c r="C59" s="2" t="s">
        <v>21</v>
      </c>
      <c r="D59" s="20">
        <v>741.61</v>
      </c>
      <c r="E59" s="6">
        <v>1</v>
      </c>
      <c r="F59" s="8">
        <v>0.2</v>
      </c>
      <c r="G59" s="7">
        <v>45471</v>
      </c>
      <c r="H59" s="41">
        <v>148.32</v>
      </c>
      <c r="I59" s="42">
        <f t="shared" ca="1" si="1"/>
        <v>46324.99402395833</v>
      </c>
    </row>
    <row r="60" spans="1:9" x14ac:dyDescent="0.3">
      <c r="A60" s="10" t="s">
        <v>38</v>
      </c>
      <c r="B60" s="10" t="s">
        <v>24</v>
      </c>
      <c r="C60" s="10" t="s">
        <v>12</v>
      </c>
      <c r="D60" s="19">
        <v>1248.82</v>
      </c>
      <c r="E60" s="11">
        <v>2</v>
      </c>
      <c r="F60" s="12">
        <v>0.1</v>
      </c>
      <c r="G60" s="13">
        <v>45473</v>
      </c>
      <c r="H60" s="40">
        <v>449.58</v>
      </c>
      <c r="I60" s="42">
        <f t="shared" ca="1" si="1"/>
        <v>46324.99402395833</v>
      </c>
    </row>
    <row r="61" spans="1:9" x14ac:dyDescent="0.3">
      <c r="A61" s="2" t="s">
        <v>59</v>
      </c>
      <c r="B61" s="2" t="s">
        <v>11</v>
      </c>
      <c r="C61" s="2" t="s">
        <v>15</v>
      </c>
      <c r="D61" s="20">
        <v>1360.36</v>
      </c>
      <c r="E61" s="6">
        <v>17</v>
      </c>
      <c r="F61" s="8">
        <v>0</v>
      </c>
      <c r="G61" s="7">
        <v>45473</v>
      </c>
      <c r="H61" s="41">
        <v>680.18</v>
      </c>
      <c r="I61" s="42">
        <f t="shared" ca="1" si="1"/>
        <v>46324.99402395833</v>
      </c>
    </row>
    <row r="62" spans="1:9" x14ac:dyDescent="0.3">
      <c r="A62" s="10" t="s">
        <v>31</v>
      </c>
      <c r="B62" s="10" t="s">
        <v>18</v>
      </c>
      <c r="C62" s="10" t="s">
        <v>12</v>
      </c>
      <c r="D62" s="19">
        <v>1383.3</v>
      </c>
      <c r="E62" s="11">
        <v>8</v>
      </c>
      <c r="F62" s="12">
        <v>0.1</v>
      </c>
      <c r="G62" s="13">
        <v>45478</v>
      </c>
      <c r="H62" s="40">
        <v>497.99</v>
      </c>
      <c r="I62" s="42">
        <f t="shared" ca="1" si="1"/>
        <v>46324.99402395833</v>
      </c>
    </row>
    <row r="63" spans="1:9" x14ac:dyDescent="0.3">
      <c r="A63" s="2" t="s">
        <v>55</v>
      </c>
      <c r="B63" s="2" t="s">
        <v>34</v>
      </c>
      <c r="C63" s="2" t="s">
        <v>39</v>
      </c>
      <c r="D63" s="20">
        <v>488.99</v>
      </c>
      <c r="E63" s="6">
        <v>9</v>
      </c>
      <c r="F63" s="8">
        <v>0</v>
      </c>
      <c r="G63" s="7">
        <v>45479</v>
      </c>
      <c r="H63" s="41">
        <v>220.05</v>
      </c>
      <c r="I63" s="42">
        <f t="shared" ca="1" si="1"/>
        <v>46324.99402395833</v>
      </c>
    </row>
    <row r="64" spans="1:9" x14ac:dyDescent="0.3">
      <c r="A64" s="10" t="s">
        <v>31</v>
      </c>
      <c r="B64" s="10" t="s">
        <v>18</v>
      </c>
      <c r="C64" s="10" t="s">
        <v>27</v>
      </c>
      <c r="D64" s="19">
        <v>933.71</v>
      </c>
      <c r="E64" s="11">
        <v>17</v>
      </c>
      <c r="F64" s="12">
        <v>0.1</v>
      </c>
      <c r="G64" s="13">
        <v>45481</v>
      </c>
      <c r="H64" s="40">
        <v>294.12</v>
      </c>
      <c r="I64" s="42">
        <f t="shared" ca="1" si="1"/>
        <v>46324.99402395833</v>
      </c>
    </row>
    <row r="65" spans="1:9" x14ac:dyDescent="0.3">
      <c r="A65" s="2" t="s">
        <v>10</v>
      </c>
      <c r="B65" s="2" t="s">
        <v>11</v>
      </c>
      <c r="C65" s="2" t="s">
        <v>21</v>
      </c>
      <c r="D65" s="20">
        <v>1005.53</v>
      </c>
      <c r="E65" s="6">
        <v>17</v>
      </c>
      <c r="F65" s="8">
        <v>0.2</v>
      </c>
      <c r="G65" s="7">
        <v>45481</v>
      </c>
      <c r="H65" s="41">
        <v>201.11</v>
      </c>
      <c r="I65" s="42">
        <f t="shared" ca="1" si="1"/>
        <v>46324.99402395833</v>
      </c>
    </row>
    <row r="66" spans="1:9" x14ac:dyDescent="0.3">
      <c r="A66" s="10" t="s">
        <v>61</v>
      </c>
      <c r="B66" s="10" t="s">
        <v>20</v>
      </c>
      <c r="C66" s="10" t="s">
        <v>21</v>
      </c>
      <c r="D66" s="19">
        <v>1100.0999999999999</v>
      </c>
      <c r="E66" s="11">
        <v>5</v>
      </c>
      <c r="F66" s="12">
        <v>0.05</v>
      </c>
      <c r="G66" s="13">
        <v>45482</v>
      </c>
      <c r="H66" s="40">
        <v>261.27</v>
      </c>
      <c r="I66" s="42">
        <f t="shared" ref="I66:I97" ca="1" si="2">NOW()</f>
        <v>46324.99402395833</v>
      </c>
    </row>
    <row r="67" spans="1:9" x14ac:dyDescent="0.3">
      <c r="A67" s="2" t="s">
        <v>23</v>
      </c>
      <c r="B67" s="2" t="s">
        <v>24</v>
      </c>
      <c r="C67" s="2" t="s">
        <v>27</v>
      </c>
      <c r="D67" s="20">
        <v>1034.7</v>
      </c>
      <c r="E67" s="6">
        <v>15</v>
      </c>
      <c r="F67" s="8">
        <v>0.15</v>
      </c>
      <c r="G67" s="7">
        <v>45487</v>
      </c>
      <c r="H67" s="41">
        <v>307.82</v>
      </c>
      <c r="I67" s="42">
        <f t="shared" ca="1" si="2"/>
        <v>46324.99402395833</v>
      </c>
    </row>
    <row r="68" spans="1:9" x14ac:dyDescent="0.3">
      <c r="A68" s="10" t="s">
        <v>31</v>
      </c>
      <c r="B68" s="10" t="s">
        <v>20</v>
      </c>
      <c r="C68" s="10" t="s">
        <v>12</v>
      </c>
      <c r="D68" s="19">
        <v>876.44</v>
      </c>
      <c r="E68" s="11">
        <v>12</v>
      </c>
      <c r="F68" s="12">
        <v>0.05</v>
      </c>
      <c r="G68" s="13">
        <v>45488</v>
      </c>
      <c r="H68" s="40">
        <v>333.05</v>
      </c>
      <c r="I68" s="42">
        <f t="shared" ca="1" si="2"/>
        <v>46324.99402395833</v>
      </c>
    </row>
    <row r="69" spans="1:9" x14ac:dyDescent="0.3">
      <c r="A69" s="2" t="s">
        <v>55</v>
      </c>
      <c r="B69" s="2" t="s">
        <v>11</v>
      </c>
      <c r="C69" s="2" t="s">
        <v>27</v>
      </c>
      <c r="D69" s="20">
        <v>1371.34</v>
      </c>
      <c r="E69" s="6">
        <v>5</v>
      </c>
      <c r="F69" s="8">
        <v>0.05</v>
      </c>
      <c r="G69" s="7">
        <v>45488</v>
      </c>
      <c r="H69" s="41">
        <v>455.97</v>
      </c>
      <c r="I69" s="42">
        <f t="shared" ca="1" si="2"/>
        <v>46324.99402395833</v>
      </c>
    </row>
    <row r="70" spans="1:9" x14ac:dyDescent="0.3">
      <c r="A70" s="10" t="s">
        <v>47</v>
      </c>
      <c r="B70" s="10" t="s">
        <v>24</v>
      </c>
      <c r="C70" s="10" t="s">
        <v>21</v>
      </c>
      <c r="D70" s="19">
        <v>1020.26</v>
      </c>
      <c r="E70" s="11">
        <v>11</v>
      </c>
      <c r="F70" s="12">
        <v>0.05</v>
      </c>
      <c r="G70" s="13">
        <v>45494</v>
      </c>
      <c r="H70" s="40">
        <v>242.31</v>
      </c>
      <c r="I70" s="42">
        <f t="shared" ca="1" si="2"/>
        <v>46324.99402395833</v>
      </c>
    </row>
    <row r="71" spans="1:9" x14ac:dyDescent="0.3">
      <c r="A71" s="2" t="s">
        <v>10</v>
      </c>
      <c r="B71" s="2" t="s">
        <v>34</v>
      </c>
      <c r="C71" s="2" t="s">
        <v>39</v>
      </c>
      <c r="D71" s="20">
        <v>804.81</v>
      </c>
      <c r="E71" s="6">
        <v>1</v>
      </c>
      <c r="F71" s="8">
        <v>0.05</v>
      </c>
      <c r="G71" s="7">
        <v>45502</v>
      </c>
      <c r="H71" s="41">
        <v>344.06</v>
      </c>
      <c r="I71" s="42">
        <f t="shared" ca="1" si="2"/>
        <v>46324.99402395833</v>
      </c>
    </row>
    <row r="72" spans="1:9" x14ac:dyDescent="0.3">
      <c r="A72" s="10" t="s">
        <v>55</v>
      </c>
      <c r="B72" s="10" t="s">
        <v>34</v>
      </c>
      <c r="C72" s="10" t="s">
        <v>21</v>
      </c>
      <c r="D72" s="19">
        <v>608.66</v>
      </c>
      <c r="E72" s="11">
        <v>1</v>
      </c>
      <c r="F72" s="12">
        <v>0.05</v>
      </c>
      <c r="G72" s="13">
        <v>45503</v>
      </c>
      <c r="H72" s="40">
        <v>144.56</v>
      </c>
      <c r="I72" s="42">
        <f t="shared" ca="1" si="2"/>
        <v>46324.99402395833</v>
      </c>
    </row>
    <row r="73" spans="1:9" x14ac:dyDescent="0.3">
      <c r="A73" s="2" t="s">
        <v>69</v>
      </c>
      <c r="B73" s="2" t="s">
        <v>20</v>
      </c>
      <c r="C73" s="2" t="s">
        <v>39</v>
      </c>
      <c r="D73" s="20">
        <v>981.2</v>
      </c>
      <c r="E73" s="6">
        <v>19</v>
      </c>
      <c r="F73" s="8">
        <v>0</v>
      </c>
      <c r="G73" s="7">
        <v>45504</v>
      </c>
      <c r="H73" s="41">
        <v>441.54</v>
      </c>
      <c r="I73" s="42">
        <f t="shared" ca="1" si="2"/>
        <v>46324.99402395833</v>
      </c>
    </row>
    <row r="74" spans="1:9" x14ac:dyDescent="0.3">
      <c r="A74" s="10" t="s">
        <v>55</v>
      </c>
      <c r="B74" s="10" t="s">
        <v>18</v>
      </c>
      <c r="C74" s="10" t="s">
        <v>21</v>
      </c>
      <c r="D74" s="19">
        <v>539.77</v>
      </c>
      <c r="E74" s="11">
        <v>10</v>
      </c>
      <c r="F74" s="12">
        <v>0.15</v>
      </c>
      <c r="G74" s="13">
        <v>45509</v>
      </c>
      <c r="H74" s="40">
        <v>114.7</v>
      </c>
      <c r="I74" s="42">
        <f t="shared" ca="1" si="2"/>
        <v>46324.99402395833</v>
      </c>
    </row>
    <row r="75" spans="1:9" x14ac:dyDescent="0.3">
      <c r="A75" s="2" t="s">
        <v>71</v>
      </c>
      <c r="B75" s="2" t="s">
        <v>20</v>
      </c>
      <c r="C75" s="2" t="s">
        <v>12</v>
      </c>
      <c r="D75" s="20">
        <v>804.45</v>
      </c>
      <c r="E75" s="6">
        <v>5</v>
      </c>
      <c r="F75" s="8">
        <v>0.2</v>
      </c>
      <c r="G75" s="7">
        <v>45509</v>
      </c>
      <c r="H75" s="41">
        <v>257.42</v>
      </c>
      <c r="I75" s="42">
        <f t="shared" ca="1" si="2"/>
        <v>46324.99402395833</v>
      </c>
    </row>
    <row r="76" spans="1:9" x14ac:dyDescent="0.3">
      <c r="A76" s="10" t="s">
        <v>38</v>
      </c>
      <c r="B76" s="10" t="s">
        <v>11</v>
      </c>
      <c r="C76" s="10" t="s">
        <v>21</v>
      </c>
      <c r="D76" s="19">
        <v>1526.6</v>
      </c>
      <c r="E76" s="11">
        <v>13</v>
      </c>
      <c r="F76" s="12">
        <v>0.2</v>
      </c>
      <c r="G76" s="13">
        <v>45512</v>
      </c>
      <c r="H76" s="40">
        <v>305.32</v>
      </c>
      <c r="I76" s="42">
        <f t="shared" ca="1" si="2"/>
        <v>46324.99402395833</v>
      </c>
    </row>
    <row r="77" spans="1:9" x14ac:dyDescent="0.3">
      <c r="A77" s="2" t="s">
        <v>29</v>
      </c>
      <c r="B77" s="2" t="s">
        <v>11</v>
      </c>
      <c r="C77" s="2" t="s">
        <v>21</v>
      </c>
      <c r="D77" s="20">
        <v>1215.26</v>
      </c>
      <c r="E77" s="6">
        <v>5</v>
      </c>
      <c r="F77" s="8">
        <v>0.15</v>
      </c>
      <c r="G77" s="7">
        <v>45513</v>
      </c>
      <c r="H77" s="41">
        <v>258.24</v>
      </c>
      <c r="I77" s="42">
        <f t="shared" ca="1" si="2"/>
        <v>46324.99402395833</v>
      </c>
    </row>
    <row r="78" spans="1:9" x14ac:dyDescent="0.3">
      <c r="A78" s="10" t="s">
        <v>53</v>
      </c>
      <c r="B78" s="10" t="s">
        <v>34</v>
      </c>
      <c r="C78" s="10" t="s">
        <v>27</v>
      </c>
      <c r="D78" s="19">
        <v>1261.3399999999999</v>
      </c>
      <c r="E78" s="11">
        <v>3</v>
      </c>
      <c r="F78" s="12">
        <v>0</v>
      </c>
      <c r="G78" s="13">
        <v>45519</v>
      </c>
      <c r="H78" s="40">
        <v>441.47</v>
      </c>
      <c r="I78" s="42">
        <f t="shared" ca="1" si="2"/>
        <v>46324.99402395833</v>
      </c>
    </row>
    <row r="79" spans="1:9" x14ac:dyDescent="0.3">
      <c r="A79" s="2" t="s">
        <v>45</v>
      </c>
      <c r="B79" s="2" t="s">
        <v>24</v>
      </c>
      <c r="C79" s="2" t="s">
        <v>27</v>
      </c>
      <c r="D79" s="20">
        <v>518.07000000000005</v>
      </c>
      <c r="E79" s="6">
        <v>7</v>
      </c>
      <c r="F79" s="8">
        <v>0.05</v>
      </c>
      <c r="G79" s="7">
        <v>45522</v>
      </c>
      <c r="H79" s="41">
        <v>172.26</v>
      </c>
      <c r="I79" s="42">
        <f t="shared" ca="1" si="2"/>
        <v>46324.99402395833</v>
      </c>
    </row>
    <row r="80" spans="1:9" x14ac:dyDescent="0.3">
      <c r="A80" s="10" t="s">
        <v>29</v>
      </c>
      <c r="B80" s="10" t="s">
        <v>11</v>
      </c>
      <c r="C80" s="10" t="s">
        <v>39</v>
      </c>
      <c r="D80" s="19">
        <v>1111.3399999999999</v>
      </c>
      <c r="E80" s="11">
        <v>1</v>
      </c>
      <c r="F80" s="12">
        <v>0</v>
      </c>
      <c r="G80" s="13">
        <v>45523</v>
      </c>
      <c r="H80" s="40">
        <v>500.1</v>
      </c>
      <c r="I80" s="42">
        <f t="shared" ca="1" si="2"/>
        <v>46324.99402395833</v>
      </c>
    </row>
    <row r="81" spans="1:9" x14ac:dyDescent="0.3">
      <c r="A81" s="2" t="s">
        <v>31</v>
      </c>
      <c r="B81" s="2" t="s">
        <v>18</v>
      </c>
      <c r="C81" s="2" t="s">
        <v>15</v>
      </c>
      <c r="D81" s="20">
        <v>1291.47</v>
      </c>
      <c r="E81" s="6">
        <v>18</v>
      </c>
      <c r="F81" s="8">
        <v>0.1</v>
      </c>
      <c r="G81" s="7">
        <v>45526</v>
      </c>
      <c r="H81" s="41">
        <v>581.16</v>
      </c>
      <c r="I81" s="42">
        <f t="shared" ca="1" si="2"/>
        <v>46324.99402395833</v>
      </c>
    </row>
    <row r="82" spans="1:9" x14ac:dyDescent="0.3">
      <c r="A82" s="10" t="s">
        <v>55</v>
      </c>
      <c r="B82" s="10" t="s">
        <v>24</v>
      </c>
      <c r="C82" s="10" t="s">
        <v>12</v>
      </c>
      <c r="D82" s="19">
        <v>679.71</v>
      </c>
      <c r="E82" s="11">
        <v>19</v>
      </c>
      <c r="F82" s="12">
        <v>0</v>
      </c>
      <c r="G82" s="13">
        <v>45534</v>
      </c>
      <c r="H82" s="40">
        <v>271.88</v>
      </c>
      <c r="I82" s="42">
        <f t="shared" ca="1" si="2"/>
        <v>46324.99402395833</v>
      </c>
    </row>
    <row r="83" spans="1:9" x14ac:dyDescent="0.3">
      <c r="A83" s="2" t="s">
        <v>33</v>
      </c>
      <c r="B83" s="2" t="s">
        <v>18</v>
      </c>
      <c r="C83" s="2" t="s">
        <v>27</v>
      </c>
      <c r="D83" s="20">
        <v>1143.69</v>
      </c>
      <c r="E83" s="6">
        <v>17</v>
      </c>
      <c r="F83" s="8">
        <v>0</v>
      </c>
      <c r="G83" s="7">
        <v>45534</v>
      </c>
      <c r="H83" s="41">
        <v>400.29</v>
      </c>
      <c r="I83" s="42">
        <f t="shared" ca="1" si="2"/>
        <v>46324.99402395833</v>
      </c>
    </row>
    <row r="84" spans="1:9" x14ac:dyDescent="0.3">
      <c r="A84" s="10" t="s">
        <v>50</v>
      </c>
      <c r="B84" s="10" t="s">
        <v>34</v>
      </c>
      <c r="C84" s="10" t="s">
        <v>21</v>
      </c>
      <c r="D84" s="19">
        <v>790.08</v>
      </c>
      <c r="E84" s="11">
        <v>7</v>
      </c>
      <c r="F84" s="12">
        <v>0.1</v>
      </c>
      <c r="G84" s="13">
        <v>45536</v>
      </c>
      <c r="H84" s="40">
        <v>177.77</v>
      </c>
      <c r="I84" s="42">
        <f t="shared" ca="1" si="2"/>
        <v>46324.99402395833</v>
      </c>
    </row>
    <row r="85" spans="1:9" x14ac:dyDescent="0.3">
      <c r="A85" s="2" t="s">
        <v>48</v>
      </c>
      <c r="B85" s="2" t="s">
        <v>34</v>
      </c>
      <c r="C85" s="2" t="s">
        <v>12</v>
      </c>
      <c r="D85" s="20">
        <v>1070.68</v>
      </c>
      <c r="E85" s="6">
        <v>7</v>
      </c>
      <c r="F85" s="8">
        <v>0.05</v>
      </c>
      <c r="G85" s="7">
        <v>45536</v>
      </c>
      <c r="H85" s="41">
        <v>406.86</v>
      </c>
      <c r="I85" s="42">
        <f t="shared" ca="1" si="2"/>
        <v>46324.99402395833</v>
      </c>
    </row>
    <row r="86" spans="1:9" x14ac:dyDescent="0.3">
      <c r="A86" s="10" t="s">
        <v>36</v>
      </c>
      <c r="B86" s="10" t="s">
        <v>11</v>
      </c>
      <c r="C86" s="10" t="s">
        <v>15</v>
      </c>
      <c r="D86" s="19">
        <v>1168.8900000000001</v>
      </c>
      <c r="E86" s="11">
        <v>4</v>
      </c>
      <c r="F86" s="12">
        <v>0.1</v>
      </c>
      <c r="G86" s="13">
        <v>45544</v>
      </c>
      <c r="H86" s="40">
        <v>526</v>
      </c>
      <c r="I86" s="42">
        <f t="shared" ca="1" si="2"/>
        <v>46324.99402395833</v>
      </c>
    </row>
    <row r="87" spans="1:9" x14ac:dyDescent="0.3">
      <c r="A87" s="2" t="s">
        <v>10</v>
      </c>
      <c r="B87" s="2" t="s">
        <v>20</v>
      </c>
      <c r="C87" s="2" t="s">
        <v>21</v>
      </c>
      <c r="D87" s="20">
        <v>1335.87</v>
      </c>
      <c r="E87" s="6">
        <v>17</v>
      </c>
      <c r="F87" s="8">
        <v>0</v>
      </c>
      <c r="G87" s="7">
        <v>45544</v>
      </c>
      <c r="H87" s="41">
        <v>333.97</v>
      </c>
      <c r="I87" s="42">
        <f t="shared" ca="1" si="2"/>
        <v>46324.99402395833</v>
      </c>
    </row>
    <row r="88" spans="1:9" x14ac:dyDescent="0.3">
      <c r="A88" s="10" t="s">
        <v>55</v>
      </c>
      <c r="B88" s="10" t="s">
        <v>18</v>
      </c>
      <c r="C88" s="10" t="s">
        <v>27</v>
      </c>
      <c r="D88" s="19">
        <v>873.7</v>
      </c>
      <c r="E88" s="11">
        <v>9</v>
      </c>
      <c r="F88" s="12">
        <v>0</v>
      </c>
      <c r="G88" s="13">
        <v>45546</v>
      </c>
      <c r="H88" s="40">
        <v>305.8</v>
      </c>
      <c r="I88" s="42">
        <f t="shared" ca="1" si="2"/>
        <v>46324.99402395833</v>
      </c>
    </row>
    <row r="89" spans="1:9" x14ac:dyDescent="0.3">
      <c r="A89" s="2" t="s">
        <v>64</v>
      </c>
      <c r="B89" s="2" t="s">
        <v>11</v>
      </c>
      <c r="C89" s="2" t="s">
        <v>39</v>
      </c>
      <c r="D89" s="20">
        <v>1443.98</v>
      </c>
      <c r="E89" s="6">
        <v>19</v>
      </c>
      <c r="F89" s="8">
        <v>0</v>
      </c>
      <c r="G89" s="7">
        <v>45547</v>
      </c>
      <c r="H89" s="41">
        <v>649.79</v>
      </c>
      <c r="I89" s="42">
        <f t="shared" ca="1" si="2"/>
        <v>46324.99402395833</v>
      </c>
    </row>
    <row r="90" spans="1:9" x14ac:dyDescent="0.3">
      <c r="A90" s="10" t="s">
        <v>23</v>
      </c>
      <c r="B90" s="10" t="s">
        <v>18</v>
      </c>
      <c r="C90" s="10" t="s">
        <v>39</v>
      </c>
      <c r="D90" s="19">
        <v>1154.33</v>
      </c>
      <c r="E90" s="11">
        <v>11</v>
      </c>
      <c r="F90" s="12">
        <v>0.15</v>
      </c>
      <c r="G90" s="13">
        <v>45549</v>
      </c>
      <c r="H90" s="40">
        <v>441.53</v>
      </c>
      <c r="I90" s="42">
        <f t="shared" ca="1" si="2"/>
        <v>46324.99402395833</v>
      </c>
    </row>
    <row r="91" spans="1:9" x14ac:dyDescent="0.3">
      <c r="A91" s="2" t="s">
        <v>50</v>
      </c>
      <c r="B91" s="2" t="s">
        <v>20</v>
      </c>
      <c r="C91" s="2" t="s">
        <v>12</v>
      </c>
      <c r="D91" s="20">
        <v>1264.49</v>
      </c>
      <c r="E91" s="6">
        <v>16</v>
      </c>
      <c r="F91" s="8">
        <v>0.05</v>
      </c>
      <c r="G91" s="7">
        <v>45549</v>
      </c>
      <c r="H91" s="41">
        <v>480.51</v>
      </c>
      <c r="I91" s="42">
        <f t="shared" ca="1" si="2"/>
        <v>46324.99402395833</v>
      </c>
    </row>
    <row r="92" spans="1:9" x14ac:dyDescent="0.3">
      <c r="A92" s="10" t="s">
        <v>66</v>
      </c>
      <c r="B92" s="10" t="s">
        <v>11</v>
      </c>
      <c r="C92" s="10" t="s">
        <v>27</v>
      </c>
      <c r="D92" s="19">
        <v>1101.55</v>
      </c>
      <c r="E92" s="11">
        <v>4</v>
      </c>
      <c r="F92" s="12">
        <v>0.1</v>
      </c>
      <c r="G92" s="13">
        <v>45551</v>
      </c>
      <c r="H92" s="40">
        <v>346.99</v>
      </c>
      <c r="I92" s="42">
        <f t="shared" ca="1" si="2"/>
        <v>46324.99402395833</v>
      </c>
    </row>
    <row r="93" spans="1:9" x14ac:dyDescent="0.3">
      <c r="A93" s="2" t="s">
        <v>14</v>
      </c>
      <c r="B93" s="2" t="s">
        <v>20</v>
      </c>
      <c r="C93" s="2" t="s">
        <v>27</v>
      </c>
      <c r="D93" s="20">
        <v>727.73</v>
      </c>
      <c r="E93" s="6">
        <v>1</v>
      </c>
      <c r="F93" s="8">
        <v>0.1</v>
      </c>
      <c r="G93" s="7">
        <v>45552</v>
      </c>
      <c r="H93" s="41">
        <v>229.23</v>
      </c>
      <c r="I93" s="42">
        <f t="shared" ca="1" si="2"/>
        <v>46324.99402395833</v>
      </c>
    </row>
    <row r="94" spans="1:9" x14ac:dyDescent="0.3">
      <c r="A94" s="10" t="s">
        <v>38</v>
      </c>
      <c r="B94" s="10" t="s">
        <v>18</v>
      </c>
      <c r="C94" s="10" t="s">
        <v>39</v>
      </c>
      <c r="D94" s="19">
        <v>875.41</v>
      </c>
      <c r="E94" s="11">
        <v>13</v>
      </c>
      <c r="F94" s="12">
        <v>0.15</v>
      </c>
      <c r="G94" s="13">
        <v>45552</v>
      </c>
      <c r="H94" s="40">
        <v>334.84</v>
      </c>
      <c r="I94" s="42">
        <f t="shared" ca="1" si="2"/>
        <v>46324.99402395833</v>
      </c>
    </row>
    <row r="95" spans="1:9" x14ac:dyDescent="0.3">
      <c r="A95" s="2" t="s">
        <v>23</v>
      </c>
      <c r="B95" s="2" t="s">
        <v>11</v>
      </c>
      <c r="C95" s="2" t="s">
        <v>21</v>
      </c>
      <c r="D95" s="20">
        <v>1158.94</v>
      </c>
      <c r="E95" s="6">
        <v>19</v>
      </c>
      <c r="F95" s="8">
        <v>0.2</v>
      </c>
      <c r="G95" s="7">
        <v>45553</v>
      </c>
      <c r="H95" s="41">
        <v>231.79</v>
      </c>
      <c r="I95" s="42">
        <f t="shared" ca="1" si="2"/>
        <v>46324.99402395833</v>
      </c>
    </row>
    <row r="96" spans="1:9" x14ac:dyDescent="0.3">
      <c r="A96" s="10" t="s">
        <v>47</v>
      </c>
      <c r="B96" s="10" t="s">
        <v>20</v>
      </c>
      <c r="C96" s="10" t="s">
        <v>12</v>
      </c>
      <c r="D96" s="19">
        <v>966.3</v>
      </c>
      <c r="E96" s="11">
        <v>2</v>
      </c>
      <c r="F96" s="12">
        <v>0.15</v>
      </c>
      <c r="G96" s="13">
        <v>45557</v>
      </c>
      <c r="H96" s="40">
        <v>328.54</v>
      </c>
      <c r="I96" s="42">
        <f t="shared" ca="1" si="2"/>
        <v>46324.99402395833</v>
      </c>
    </row>
    <row r="97" spans="1:9" x14ac:dyDescent="0.3">
      <c r="A97" s="2" t="s">
        <v>17</v>
      </c>
      <c r="B97" s="2" t="s">
        <v>20</v>
      </c>
      <c r="C97" s="2" t="s">
        <v>12</v>
      </c>
      <c r="D97" s="20">
        <v>917.48</v>
      </c>
      <c r="E97" s="6">
        <v>6</v>
      </c>
      <c r="F97" s="8">
        <v>0</v>
      </c>
      <c r="G97" s="7">
        <v>45558</v>
      </c>
      <c r="H97" s="41">
        <v>366.99</v>
      </c>
      <c r="I97" s="42">
        <f t="shared" ca="1" si="2"/>
        <v>46324.99402395833</v>
      </c>
    </row>
    <row r="98" spans="1:9" x14ac:dyDescent="0.3">
      <c r="A98" s="10" t="s">
        <v>61</v>
      </c>
      <c r="B98" s="10" t="s">
        <v>11</v>
      </c>
      <c r="C98" s="10" t="s">
        <v>27</v>
      </c>
      <c r="D98" s="19">
        <v>1172.97</v>
      </c>
      <c r="E98" s="11">
        <v>7</v>
      </c>
      <c r="F98" s="12">
        <v>0.15</v>
      </c>
      <c r="G98" s="13">
        <v>45559</v>
      </c>
      <c r="H98" s="40">
        <v>348.96</v>
      </c>
      <c r="I98" s="42">
        <f t="shared" ref="I98:I129" ca="1" si="3">NOW()</f>
        <v>46324.99402395833</v>
      </c>
    </row>
    <row r="99" spans="1:9" x14ac:dyDescent="0.3">
      <c r="A99" s="2" t="s">
        <v>23</v>
      </c>
      <c r="B99" s="2" t="s">
        <v>24</v>
      </c>
      <c r="C99" s="2" t="s">
        <v>15</v>
      </c>
      <c r="D99" s="20">
        <v>1205.82</v>
      </c>
      <c r="E99" s="6">
        <v>11</v>
      </c>
      <c r="F99" s="8">
        <v>0.1</v>
      </c>
      <c r="G99" s="7">
        <v>45559</v>
      </c>
      <c r="H99" s="41">
        <v>542.62</v>
      </c>
      <c r="I99" s="42">
        <f t="shared" ca="1" si="3"/>
        <v>46324.99402395833</v>
      </c>
    </row>
    <row r="100" spans="1:9" x14ac:dyDescent="0.3">
      <c r="A100" s="10" t="s">
        <v>64</v>
      </c>
      <c r="B100" s="10" t="s">
        <v>11</v>
      </c>
      <c r="C100" s="10" t="s">
        <v>39</v>
      </c>
      <c r="D100" s="19">
        <v>826.93</v>
      </c>
      <c r="E100" s="11">
        <v>10</v>
      </c>
      <c r="F100" s="12">
        <v>0.2</v>
      </c>
      <c r="G100" s="13">
        <v>45564</v>
      </c>
      <c r="H100" s="40">
        <v>297.69</v>
      </c>
      <c r="I100" s="42">
        <f t="shared" ca="1" si="3"/>
        <v>46324.99402395833</v>
      </c>
    </row>
    <row r="101" spans="1:9" x14ac:dyDescent="0.3">
      <c r="A101" s="2" t="s">
        <v>23</v>
      </c>
      <c r="B101" s="2" t="s">
        <v>34</v>
      </c>
      <c r="C101" s="2" t="s">
        <v>15</v>
      </c>
      <c r="D101" s="20">
        <v>902.19</v>
      </c>
      <c r="E101" s="6">
        <v>12</v>
      </c>
      <c r="F101" s="8">
        <v>0</v>
      </c>
      <c r="G101" s="7">
        <v>45564</v>
      </c>
      <c r="H101" s="41">
        <v>451.1</v>
      </c>
      <c r="I101" s="42">
        <f t="shared" ca="1" si="3"/>
        <v>46324.99402395833</v>
      </c>
    </row>
    <row r="102" spans="1:9" x14ac:dyDescent="0.3">
      <c r="A102" s="10" t="s">
        <v>38</v>
      </c>
      <c r="B102" s="10" t="s">
        <v>24</v>
      </c>
      <c r="C102" s="10" t="s">
        <v>12</v>
      </c>
      <c r="D102" s="19">
        <v>585.97</v>
      </c>
      <c r="E102" s="11">
        <v>17</v>
      </c>
      <c r="F102" s="12">
        <v>0.1</v>
      </c>
      <c r="G102" s="13">
        <v>45565</v>
      </c>
      <c r="H102" s="40">
        <v>210.95</v>
      </c>
      <c r="I102" s="42">
        <f t="shared" ca="1" si="3"/>
        <v>46324.99402395833</v>
      </c>
    </row>
    <row r="103" spans="1:9" x14ac:dyDescent="0.3">
      <c r="A103" s="2" t="s">
        <v>26</v>
      </c>
      <c r="B103" s="2" t="s">
        <v>24</v>
      </c>
      <c r="C103" s="2" t="s">
        <v>15</v>
      </c>
      <c r="D103" s="20">
        <v>990.19</v>
      </c>
      <c r="E103" s="6">
        <v>8</v>
      </c>
      <c r="F103" s="8">
        <v>0.1</v>
      </c>
      <c r="G103" s="7">
        <v>45565</v>
      </c>
      <c r="H103" s="41">
        <v>445.59</v>
      </c>
      <c r="I103" s="42">
        <f t="shared" ca="1" si="3"/>
        <v>46324.99402395833</v>
      </c>
    </row>
    <row r="104" spans="1:9" x14ac:dyDescent="0.3">
      <c r="A104" s="10" t="s">
        <v>56</v>
      </c>
      <c r="B104" s="10" t="s">
        <v>34</v>
      </c>
      <c r="C104" s="10" t="s">
        <v>21</v>
      </c>
      <c r="D104" s="19">
        <v>1014.09</v>
      </c>
      <c r="E104" s="11">
        <v>13</v>
      </c>
      <c r="F104" s="12">
        <v>0.2</v>
      </c>
      <c r="G104" s="13">
        <v>45567</v>
      </c>
      <c r="H104" s="40">
        <v>202.82</v>
      </c>
      <c r="I104" s="42">
        <f t="shared" ca="1" si="3"/>
        <v>46324.99402395833</v>
      </c>
    </row>
    <row r="105" spans="1:9" x14ac:dyDescent="0.3">
      <c r="A105" s="2" t="s">
        <v>48</v>
      </c>
      <c r="B105" s="2" t="s">
        <v>24</v>
      </c>
      <c r="C105" s="2" t="s">
        <v>21</v>
      </c>
      <c r="D105" s="20">
        <v>925.29</v>
      </c>
      <c r="E105" s="6">
        <v>17</v>
      </c>
      <c r="F105" s="8">
        <v>0</v>
      </c>
      <c r="G105" s="7">
        <v>45570</v>
      </c>
      <c r="H105" s="41">
        <v>231.32</v>
      </c>
      <c r="I105" s="42">
        <f t="shared" ca="1" si="3"/>
        <v>46324.99402395833</v>
      </c>
    </row>
    <row r="106" spans="1:9" x14ac:dyDescent="0.3">
      <c r="A106" s="10" t="s">
        <v>47</v>
      </c>
      <c r="B106" s="10" t="s">
        <v>18</v>
      </c>
      <c r="C106" s="10" t="s">
        <v>27</v>
      </c>
      <c r="D106" s="19">
        <v>1286.54</v>
      </c>
      <c r="E106" s="11">
        <v>8</v>
      </c>
      <c r="F106" s="12">
        <v>0</v>
      </c>
      <c r="G106" s="13">
        <v>45575</v>
      </c>
      <c r="H106" s="40">
        <v>450.29</v>
      </c>
      <c r="I106" s="42">
        <f t="shared" ca="1" si="3"/>
        <v>46324.99402395833</v>
      </c>
    </row>
    <row r="107" spans="1:9" x14ac:dyDescent="0.3">
      <c r="A107" s="2" t="s">
        <v>64</v>
      </c>
      <c r="B107" s="2" t="s">
        <v>20</v>
      </c>
      <c r="C107" s="2" t="s">
        <v>12</v>
      </c>
      <c r="D107" s="20">
        <v>961.62</v>
      </c>
      <c r="E107" s="6">
        <v>8</v>
      </c>
      <c r="F107" s="8">
        <v>0.2</v>
      </c>
      <c r="G107" s="7">
        <v>45577</v>
      </c>
      <c r="H107" s="41">
        <v>307.72000000000003</v>
      </c>
      <c r="I107" s="42">
        <f t="shared" ca="1" si="3"/>
        <v>46324.99402395833</v>
      </c>
    </row>
    <row r="108" spans="1:9" x14ac:dyDescent="0.3">
      <c r="A108" s="10" t="s">
        <v>23</v>
      </c>
      <c r="B108" s="10" t="s">
        <v>18</v>
      </c>
      <c r="C108" s="10" t="s">
        <v>12</v>
      </c>
      <c r="D108" s="19">
        <v>1081.1400000000001</v>
      </c>
      <c r="E108" s="11">
        <v>19</v>
      </c>
      <c r="F108" s="12">
        <v>0.15</v>
      </c>
      <c r="G108" s="13">
        <v>45577</v>
      </c>
      <c r="H108" s="40">
        <v>367.59</v>
      </c>
      <c r="I108" s="42">
        <f t="shared" ca="1" si="3"/>
        <v>46324.99402395833</v>
      </c>
    </row>
    <row r="109" spans="1:9" x14ac:dyDescent="0.3">
      <c r="A109" s="2" t="s">
        <v>23</v>
      </c>
      <c r="B109" s="2" t="s">
        <v>11</v>
      </c>
      <c r="C109" s="2" t="s">
        <v>15</v>
      </c>
      <c r="D109" s="20">
        <v>1923.66</v>
      </c>
      <c r="E109" s="6">
        <v>9</v>
      </c>
      <c r="F109" s="8">
        <v>0.2</v>
      </c>
      <c r="G109" s="7">
        <v>45580</v>
      </c>
      <c r="H109" s="41">
        <v>769.46</v>
      </c>
      <c r="I109" s="42">
        <f t="shared" ca="1" si="3"/>
        <v>46324.99402395833</v>
      </c>
    </row>
    <row r="110" spans="1:9" x14ac:dyDescent="0.3">
      <c r="A110" s="10" t="s">
        <v>66</v>
      </c>
      <c r="B110" s="10" t="s">
        <v>34</v>
      </c>
      <c r="C110" s="10" t="s">
        <v>15</v>
      </c>
      <c r="D110" s="19">
        <v>728.71</v>
      </c>
      <c r="E110" s="11">
        <v>14</v>
      </c>
      <c r="F110" s="12">
        <v>0.1</v>
      </c>
      <c r="G110" s="13">
        <v>45581</v>
      </c>
      <c r="H110" s="40">
        <v>327.92</v>
      </c>
      <c r="I110" s="42">
        <f t="shared" ca="1" si="3"/>
        <v>46324.99402395833</v>
      </c>
    </row>
    <row r="111" spans="1:9" x14ac:dyDescent="0.3">
      <c r="A111" s="2" t="s">
        <v>33</v>
      </c>
      <c r="B111" s="2" t="s">
        <v>34</v>
      </c>
      <c r="C111" s="2" t="s">
        <v>15</v>
      </c>
      <c r="D111" s="20">
        <v>1301.8900000000001</v>
      </c>
      <c r="E111" s="6">
        <v>7</v>
      </c>
      <c r="F111" s="8">
        <v>0.15</v>
      </c>
      <c r="G111" s="7">
        <v>45581</v>
      </c>
      <c r="H111" s="41">
        <v>553.29999999999995</v>
      </c>
      <c r="I111" s="42">
        <f t="shared" ca="1" si="3"/>
        <v>46324.99402395833</v>
      </c>
    </row>
    <row r="112" spans="1:9" x14ac:dyDescent="0.3">
      <c r="A112" s="10" t="s">
        <v>66</v>
      </c>
      <c r="B112" s="10" t="s">
        <v>18</v>
      </c>
      <c r="C112" s="10" t="s">
        <v>12</v>
      </c>
      <c r="D112" s="19">
        <v>980.18</v>
      </c>
      <c r="E112" s="11">
        <v>16</v>
      </c>
      <c r="F112" s="12">
        <v>0.1</v>
      </c>
      <c r="G112" s="13">
        <v>45582</v>
      </c>
      <c r="H112" s="40">
        <v>352.86</v>
      </c>
      <c r="I112" s="42">
        <f t="shared" ca="1" si="3"/>
        <v>46324.99402395833</v>
      </c>
    </row>
    <row r="113" spans="1:9" x14ac:dyDescent="0.3">
      <c r="A113" s="2" t="s">
        <v>23</v>
      </c>
      <c r="B113" s="2" t="s">
        <v>11</v>
      </c>
      <c r="C113" s="2" t="s">
        <v>15</v>
      </c>
      <c r="D113" s="20">
        <v>697.57</v>
      </c>
      <c r="E113" s="6">
        <v>17</v>
      </c>
      <c r="F113" s="8">
        <v>0.1</v>
      </c>
      <c r="G113" s="7">
        <v>45584</v>
      </c>
      <c r="H113" s="41">
        <v>313.91000000000003</v>
      </c>
      <c r="I113" s="42">
        <f t="shared" ca="1" si="3"/>
        <v>46324.99402395833</v>
      </c>
    </row>
    <row r="114" spans="1:9" x14ac:dyDescent="0.3">
      <c r="A114" s="10" t="s">
        <v>71</v>
      </c>
      <c r="B114" s="10" t="s">
        <v>11</v>
      </c>
      <c r="C114" s="10" t="s">
        <v>27</v>
      </c>
      <c r="D114" s="19">
        <v>1193.6099999999999</v>
      </c>
      <c r="E114" s="11">
        <v>1</v>
      </c>
      <c r="F114" s="12">
        <v>0.15</v>
      </c>
      <c r="G114" s="13">
        <v>45584</v>
      </c>
      <c r="H114" s="40">
        <v>355.1</v>
      </c>
      <c r="I114" s="42">
        <f t="shared" ca="1" si="3"/>
        <v>46324.99402395833</v>
      </c>
    </row>
    <row r="115" spans="1:9" x14ac:dyDescent="0.3">
      <c r="A115" s="2" t="s">
        <v>38</v>
      </c>
      <c r="B115" s="2" t="s">
        <v>20</v>
      </c>
      <c r="C115" s="2" t="s">
        <v>21</v>
      </c>
      <c r="D115" s="20">
        <v>771.02</v>
      </c>
      <c r="E115" s="6">
        <v>1</v>
      </c>
      <c r="F115" s="8">
        <v>0</v>
      </c>
      <c r="G115" s="7">
        <v>45585</v>
      </c>
      <c r="H115" s="41">
        <v>192.76</v>
      </c>
      <c r="I115" s="42">
        <f t="shared" ca="1" si="3"/>
        <v>46324.99402395833</v>
      </c>
    </row>
    <row r="116" spans="1:9" x14ac:dyDescent="0.3">
      <c r="A116" s="10" t="s">
        <v>69</v>
      </c>
      <c r="B116" s="10" t="s">
        <v>24</v>
      </c>
      <c r="C116" s="10" t="s">
        <v>15</v>
      </c>
      <c r="D116" s="19">
        <v>661.09</v>
      </c>
      <c r="E116" s="11">
        <v>1</v>
      </c>
      <c r="F116" s="12">
        <v>0.2</v>
      </c>
      <c r="G116" s="13">
        <v>45593</v>
      </c>
      <c r="H116" s="40">
        <v>264.44</v>
      </c>
      <c r="I116" s="42">
        <f t="shared" ca="1" si="3"/>
        <v>46324.99402395833</v>
      </c>
    </row>
    <row r="117" spans="1:9" x14ac:dyDescent="0.3">
      <c r="A117" s="2" t="s">
        <v>55</v>
      </c>
      <c r="B117" s="2" t="s">
        <v>11</v>
      </c>
      <c r="C117" s="2" t="s">
        <v>21</v>
      </c>
      <c r="D117" s="20">
        <v>688.83</v>
      </c>
      <c r="E117" s="6">
        <v>15</v>
      </c>
      <c r="F117" s="8">
        <v>0</v>
      </c>
      <c r="G117" s="7">
        <v>45595</v>
      </c>
      <c r="H117" s="41">
        <v>172.21</v>
      </c>
      <c r="I117" s="42">
        <f t="shared" ca="1" si="3"/>
        <v>46324.99402395833</v>
      </c>
    </row>
    <row r="118" spans="1:9" x14ac:dyDescent="0.3">
      <c r="A118" s="10" t="s">
        <v>29</v>
      </c>
      <c r="B118" s="10" t="s">
        <v>34</v>
      </c>
      <c r="C118" s="10" t="s">
        <v>12</v>
      </c>
      <c r="D118" s="19">
        <v>1249.0999999999999</v>
      </c>
      <c r="E118" s="11">
        <v>4</v>
      </c>
      <c r="F118" s="12">
        <v>0.05</v>
      </c>
      <c r="G118" s="13">
        <v>45597</v>
      </c>
      <c r="H118" s="40">
        <v>474.66</v>
      </c>
      <c r="I118" s="42">
        <f t="shared" ca="1" si="3"/>
        <v>46324.99402395833</v>
      </c>
    </row>
    <row r="119" spans="1:9" x14ac:dyDescent="0.3">
      <c r="A119" s="2" t="s">
        <v>23</v>
      </c>
      <c r="B119" s="2" t="s">
        <v>18</v>
      </c>
      <c r="C119" s="2" t="s">
        <v>39</v>
      </c>
      <c r="D119" s="20">
        <v>1014.22</v>
      </c>
      <c r="E119" s="6">
        <v>14</v>
      </c>
      <c r="F119" s="8">
        <v>0.05</v>
      </c>
      <c r="G119" s="7">
        <v>45599</v>
      </c>
      <c r="H119" s="41">
        <v>433.58</v>
      </c>
      <c r="I119" s="42">
        <f t="shared" ca="1" si="3"/>
        <v>46324.99402395833</v>
      </c>
    </row>
    <row r="120" spans="1:9" x14ac:dyDescent="0.3">
      <c r="A120" s="10" t="s">
        <v>48</v>
      </c>
      <c r="B120" s="10" t="s">
        <v>18</v>
      </c>
      <c r="C120" s="10" t="s">
        <v>12</v>
      </c>
      <c r="D120" s="19">
        <v>1010.58</v>
      </c>
      <c r="E120" s="11">
        <v>2</v>
      </c>
      <c r="F120" s="12">
        <v>0.15</v>
      </c>
      <c r="G120" s="13">
        <v>45605</v>
      </c>
      <c r="H120" s="40">
        <v>343.6</v>
      </c>
      <c r="I120" s="42">
        <f t="shared" ca="1" si="3"/>
        <v>46324.99402395833</v>
      </c>
    </row>
    <row r="121" spans="1:9" x14ac:dyDescent="0.3">
      <c r="A121" s="2" t="s">
        <v>59</v>
      </c>
      <c r="B121" s="2" t="s">
        <v>24</v>
      </c>
      <c r="C121" s="2" t="s">
        <v>27</v>
      </c>
      <c r="D121" s="20">
        <v>957.29</v>
      </c>
      <c r="E121" s="6">
        <v>4</v>
      </c>
      <c r="F121" s="8">
        <v>0.05</v>
      </c>
      <c r="G121" s="7">
        <v>45605</v>
      </c>
      <c r="H121" s="41">
        <v>318.3</v>
      </c>
      <c r="I121" s="42">
        <f t="shared" ca="1" si="3"/>
        <v>46324.99402395833</v>
      </c>
    </row>
    <row r="122" spans="1:9" x14ac:dyDescent="0.3">
      <c r="A122" s="10" t="s">
        <v>45</v>
      </c>
      <c r="B122" s="10" t="s">
        <v>24</v>
      </c>
      <c r="C122" s="10" t="s">
        <v>27</v>
      </c>
      <c r="D122" s="19">
        <v>1077.92</v>
      </c>
      <c r="E122" s="11">
        <v>3</v>
      </c>
      <c r="F122" s="12">
        <v>0.05</v>
      </c>
      <c r="G122" s="13">
        <v>45608</v>
      </c>
      <c r="H122" s="40">
        <v>358.41</v>
      </c>
      <c r="I122" s="42">
        <f t="shared" ca="1" si="3"/>
        <v>46324.99402395833</v>
      </c>
    </row>
    <row r="123" spans="1:9" x14ac:dyDescent="0.3">
      <c r="A123" s="2" t="s">
        <v>50</v>
      </c>
      <c r="B123" s="2" t="s">
        <v>20</v>
      </c>
      <c r="C123" s="2" t="s">
        <v>15</v>
      </c>
      <c r="D123" s="20">
        <v>1163.01</v>
      </c>
      <c r="E123" s="6">
        <v>5</v>
      </c>
      <c r="F123" s="8">
        <v>0</v>
      </c>
      <c r="G123" s="7">
        <v>45611</v>
      </c>
      <c r="H123" s="41">
        <v>581.5</v>
      </c>
      <c r="I123" s="42">
        <f t="shared" ca="1" si="3"/>
        <v>46324.99402395833</v>
      </c>
    </row>
    <row r="124" spans="1:9" x14ac:dyDescent="0.3">
      <c r="A124" s="10" t="s">
        <v>45</v>
      </c>
      <c r="B124" s="10" t="s">
        <v>18</v>
      </c>
      <c r="C124" s="10" t="s">
        <v>39</v>
      </c>
      <c r="D124" s="19">
        <v>1014.56</v>
      </c>
      <c r="E124" s="11">
        <v>10</v>
      </c>
      <c r="F124" s="12">
        <v>0.1</v>
      </c>
      <c r="G124" s="13">
        <v>45612</v>
      </c>
      <c r="H124" s="40">
        <v>410.9</v>
      </c>
      <c r="I124" s="42">
        <f t="shared" ca="1" si="3"/>
        <v>46324.99402395833</v>
      </c>
    </row>
    <row r="125" spans="1:9" x14ac:dyDescent="0.3">
      <c r="A125" s="2" t="s">
        <v>17</v>
      </c>
      <c r="B125" s="2" t="s">
        <v>20</v>
      </c>
      <c r="C125" s="2" t="s">
        <v>21</v>
      </c>
      <c r="D125" s="20">
        <v>718.04</v>
      </c>
      <c r="E125" s="6">
        <v>14</v>
      </c>
      <c r="F125" s="8">
        <v>0</v>
      </c>
      <c r="G125" s="7">
        <v>45613</v>
      </c>
      <c r="H125" s="41">
        <v>179.51</v>
      </c>
      <c r="I125" s="42">
        <f t="shared" ca="1" si="3"/>
        <v>46324.99402395833</v>
      </c>
    </row>
    <row r="126" spans="1:9" x14ac:dyDescent="0.3">
      <c r="A126" s="10" t="s">
        <v>17</v>
      </c>
      <c r="B126" s="10" t="s">
        <v>34</v>
      </c>
      <c r="C126" s="10" t="s">
        <v>15</v>
      </c>
      <c r="D126" s="19">
        <v>1277.8499999999999</v>
      </c>
      <c r="E126" s="11">
        <v>18</v>
      </c>
      <c r="F126" s="12">
        <v>0.2</v>
      </c>
      <c r="G126" s="13">
        <v>45613</v>
      </c>
      <c r="H126" s="40">
        <v>511.14</v>
      </c>
      <c r="I126" s="42">
        <f t="shared" ca="1" si="3"/>
        <v>46324.99402395833</v>
      </c>
    </row>
    <row r="127" spans="1:9" x14ac:dyDescent="0.3">
      <c r="A127" s="2" t="s">
        <v>23</v>
      </c>
      <c r="B127" s="2" t="s">
        <v>24</v>
      </c>
      <c r="C127" s="2" t="s">
        <v>21</v>
      </c>
      <c r="D127" s="20">
        <v>706.73</v>
      </c>
      <c r="E127" s="6">
        <v>1</v>
      </c>
      <c r="F127" s="8">
        <v>0.15</v>
      </c>
      <c r="G127" s="7">
        <v>45613</v>
      </c>
      <c r="H127" s="41">
        <v>150.18</v>
      </c>
      <c r="I127" s="42">
        <f t="shared" ca="1" si="3"/>
        <v>46324.99402395833</v>
      </c>
    </row>
    <row r="128" spans="1:9" x14ac:dyDescent="0.3">
      <c r="A128" s="10" t="s">
        <v>50</v>
      </c>
      <c r="B128" s="10" t="s">
        <v>18</v>
      </c>
      <c r="C128" s="10" t="s">
        <v>21</v>
      </c>
      <c r="D128" s="19">
        <v>1410.59</v>
      </c>
      <c r="E128" s="11">
        <v>15</v>
      </c>
      <c r="F128" s="12">
        <v>0</v>
      </c>
      <c r="G128" s="13">
        <v>45615</v>
      </c>
      <c r="H128" s="40">
        <v>352.65</v>
      </c>
      <c r="I128" s="42">
        <f t="shared" ca="1" si="3"/>
        <v>46324.99402395833</v>
      </c>
    </row>
    <row r="129" spans="1:9" x14ac:dyDescent="0.3">
      <c r="A129" s="2" t="s">
        <v>61</v>
      </c>
      <c r="B129" s="2" t="s">
        <v>20</v>
      </c>
      <c r="C129" s="2" t="s">
        <v>27</v>
      </c>
      <c r="D129" s="20">
        <v>1350.33</v>
      </c>
      <c r="E129" s="6">
        <v>10</v>
      </c>
      <c r="F129" s="8">
        <v>0</v>
      </c>
      <c r="G129" s="7">
        <v>45615</v>
      </c>
      <c r="H129" s="41">
        <v>472.62</v>
      </c>
      <c r="I129" s="42">
        <f t="shared" ca="1" si="3"/>
        <v>46324.99402395833</v>
      </c>
    </row>
    <row r="130" spans="1:9" x14ac:dyDescent="0.3">
      <c r="A130" s="10" t="s">
        <v>45</v>
      </c>
      <c r="B130" s="10" t="s">
        <v>18</v>
      </c>
      <c r="C130" s="10" t="s">
        <v>21</v>
      </c>
      <c r="D130" s="19">
        <v>919.18</v>
      </c>
      <c r="E130" s="11">
        <v>4</v>
      </c>
      <c r="F130" s="12">
        <v>0.15</v>
      </c>
      <c r="G130" s="13">
        <v>45615</v>
      </c>
      <c r="H130" s="40">
        <v>195.33</v>
      </c>
      <c r="I130" s="42">
        <f t="shared" ref="I130:I148" ca="1" si="4">NOW()</f>
        <v>46324.99402395833</v>
      </c>
    </row>
    <row r="131" spans="1:9" x14ac:dyDescent="0.3">
      <c r="A131" s="2" t="s">
        <v>23</v>
      </c>
      <c r="B131" s="2" t="s">
        <v>11</v>
      </c>
      <c r="C131" s="2" t="s">
        <v>21</v>
      </c>
      <c r="D131" s="20">
        <v>258.51</v>
      </c>
      <c r="E131" s="6">
        <v>19</v>
      </c>
      <c r="F131" s="8">
        <v>0</v>
      </c>
      <c r="G131" s="7">
        <v>45616</v>
      </c>
      <c r="H131" s="41">
        <v>64.63</v>
      </c>
      <c r="I131" s="42">
        <f t="shared" ca="1" si="4"/>
        <v>46324.99402395833</v>
      </c>
    </row>
    <row r="132" spans="1:9" x14ac:dyDescent="0.3">
      <c r="A132" s="10" t="s">
        <v>61</v>
      </c>
      <c r="B132" s="10" t="s">
        <v>18</v>
      </c>
      <c r="C132" s="10" t="s">
        <v>12</v>
      </c>
      <c r="D132" s="19">
        <v>1213.48</v>
      </c>
      <c r="E132" s="11">
        <v>5</v>
      </c>
      <c r="F132" s="12">
        <v>0.05</v>
      </c>
      <c r="G132" s="13">
        <v>45616</v>
      </c>
      <c r="H132" s="40">
        <v>461.12</v>
      </c>
      <c r="I132" s="42">
        <f t="shared" ca="1" si="4"/>
        <v>46324.99402395833</v>
      </c>
    </row>
    <row r="133" spans="1:9" x14ac:dyDescent="0.3">
      <c r="A133" s="2" t="s">
        <v>38</v>
      </c>
      <c r="B133" s="2" t="s">
        <v>34</v>
      </c>
      <c r="C133" s="2" t="s">
        <v>12</v>
      </c>
      <c r="D133" s="20">
        <v>1150.28</v>
      </c>
      <c r="E133" s="6">
        <v>8</v>
      </c>
      <c r="F133" s="8">
        <v>0.05</v>
      </c>
      <c r="G133" s="7">
        <v>45622</v>
      </c>
      <c r="H133" s="41">
        <v>437.11</v>
      </c>
      <c r="I133" s="42">
        <f t="shared" ca="1" si="4"/>
        <v>46324.99402395833</v>
      </c>
    </row>
    <row r="134" spans="1:9" x14ac:dyDescent="0.3">
      <c r="A134" s="10" t="s">
        <v>71</v>
      </c>
      <c r="B134" s="10" t="s">
        <v>20</v>
      </c>
      <c r="C134" s="10" t="s">
        <v>27</v>
      </c>
      <c r="D134" s="19">
        <v>853.86</v>
      </c>
      <c r="E134" s="11">
        <v>8</v>
      </c>
      <c r="F134" s="12">
        <v>0.1</v>
      </c>
      <c r="G134" s="13">
        <v>45622</v>
      </c>
      <c r="H134" s="40">
        <v>268.97000000000003</v>
      </c>
      <c r="I134" s="42">
        <f t="shared" ca="1" si="4"/>
        <v>46324.99402395833</v>
      </c>
    </row>
    <row r="135" spans="1:9" x14ac:dyDescent="0.3">
      <c r="A135" s="2" t="s">
        <v>45</v>
      </c>
      <c r="B135" s="2" t="s">
        <v>20</v>
      </c>
      <c r="C135" s="2" t="s">
        <v>21</v>
      </c>
      <c r="D135" s="20">
        <v>1061.04</v>
      </c>
      <c r="E135" s="6">
        <v>1</v>
      </c>
      <c r="F135" s="8">
        <v>0</v>
      </c>
      <c r="G135" s="7">
        <v>45624</v>
      </c>
      <c r="H135" s="41">
        <v>265.26</v>
      </c>
      <c r="I135" s="42">
        <f t="shared" ca="1" si="4"/>
        <v>46324.99402395833</v>
      </c>
    </row>
    <row r="136" spans="1:9" x14ac:dyDescent="0.3">
      <c r="A136" s="10" t="s">
        <v>43</v>
      </c>
      <c r="B136" s="10" t="s">
        <v>11</v>
      </c>
      <c r="C136" s="10" t="s">
        <v>21</v>
      </c>
      <c r="D136" s="19">
        <v>894.55</v>
      </c>
      <c r="E136" s="11">
        <v>19</v>
      </c>
      <c r="F136" s="12">
        <v>0.2</v>
      </c>
      <c r="G136" s="13">
        <v>45625</v>
      </c>
      <c r="H136" s="40">
        <v>178.91</v>
      </c>
      <c r="I136" s="42">
        <f t="shared" ca="1" si="4"/>
        <v>46324.99402395833</v>
      </c>
    </row>
    <row r="137" spans="1:9" x14ac:dyDescent="0.3">
      <c r="A137" s="2" t="s">
        <v>38</v>
      </c>
      <c r="B137" s="2" t="s">
        <v>24</v>
      </c>
      <c r="C137" s="2" t="s">
        <v>39</v>
      </c>
      <c r="D137" s="20">
        <v>833.91</v>
      </c>
      <c r="E137" s="6">
        <v>3</v>
      </c>
      <c r="F137" s="8">
        <v>0.05</v>
      </c>
      <c r="G137" s="7">
        <v>45626</v>
      </c>
      <c r="H137" s="41">
        <v>356.5</v>
      </c>
      <c r="I137" s="42">
        <f t="shared" ca="1" si="4"/>
        <v>46324.99402395833</v>
      </c>
    </row>
    <row r="138" spans="1:9" x14ac:dyDescent="0.3">
      <c r="A138" s="10" t="s">
        <v>71</v>
      </c>
      <c r="B138" s="10" t="s">
        <v>11</v>
      </c>
      <c r="C138" s="10" t="s">
        <v>27</v>
      </c>
      <c r="D138" s="19">
        <v>820.19</v>
      </c>
      <c r="E138" s="11">
        <v>4</v>
      </c>
      <c r="F138" s="12">
        <v>0.2</v>
      </c>
      <c r="G138" s="13">
        <v>45630</v>
      </c>
      <c r="H138" s="40">
        <v>229.65</v>
      </c>
      <c r="I138" s="42">
        <f t="shared" ca="1" si="4"/>
        <v>46324.99402395833</v>
      </c>
    </row>
    <row r="139" spans="1:9" x14ac:dyDescent="0.3">
      <c r="A139" s="2" t="s">
        <v>38</v>
      </c>
      <c r="B139" s="2" t="s">
        <v>34</v>
      </c>
      <c r="C139" s="2" t="s">
        <v>21</v>
      </c>
      <c r="D139" s="20">
        <v>511.74</v>
      </c>
      <c r="E139" s="6">
        <v>8</v>
      </c>
      <c r="F139" s="8">
        <v>0.05</v>
      </c>
      <c r="G139" s="7">
        <v>45631</v>
      </c>
      <c r="H139" s="41">
        <v>121.54</v>
      </c>
      <c r="I139" s="42">
        <f t="shared" ca="1" si="4"/>
        <v>46324.99402395833</v>
      </c>
    </row>
    <row r="140" spans="1:9" x14ac:dyDescent="0.3">
      <c r="A140" s="10" t="s">
        <v>61</v>
      </c>
      <c r="B140" s="10" t="s">
        <v>20</v>
      </c>
      <c r="C140" s="10" t="s">
        <v>27</v>
      </c>
      <c r="D140" s="19">
        <v>806.03</v>
      </c>
      <c r="E140" s="11">
        <v>19</v>
      </c>
      <c r="F140" s="12">
        <v>0.05</v>
      </c>
      <c r="G140" s="13">
        <v>45638</v>
      </c>
      <c r="H140" s="40">
        <v>268</v>
      </c>
      <c r="I140" s="42">
        <f t="shared" ca="1" si="4"/>
        <v>46324.99402395833</v>
      </c>
    </row>
    <row r="141" spans="1:9" x14ac:dyDescent="0.3">
      <c r="A141" s="2" t="s">
        <v>26</v>
      </c>
      <c r="B141" s="2" t="s">
        <v>34</v>
      </c>
      <c r="C141" s="2" t="s">
        <v>27</v>
      </c>
      <c r="D141" s="20">
        <v>1432.47</v>
      </c>
      <c r="E141" s="6">
        <v>16</v>
      </c>
      <c r="F141" s="8">
        <v>0.15</v>
      </c>
      <c r="G141" s="7">
        <v>45640</v>
      </c>
      <c r="H141" s="41">
        <v>426.16</v>
      </c>
      <c r="I141" s="42">
        <f t="shared" ca="1" si="4"/>
        <v>46324.99402395833</v>
      </c>
    </row>
    <row r="142" spans="1:9" x14ac:dyDescent="0.3">
      <c r="A142" s="10" t="s">
        <v>29</v>
      </c>
      <c r="B142" s="10" t="s">
        <v>34</v>
      </c>
      <c r="C142" s="10" t="s">
        <v>21</v>
      </c>
      <c r="D142" s="19">
        <v>1488.58</v>
      </c>
      <c r="E142" s="11">
        <v>10</v>
      </c>
      <c r="F142" s="12">
        <v>0.15</v>
      </c>
      <c r="G142" s="13">
        <v>45640</v>
      </c>
      <c r="H142" s="40">
        <v>316.32</v>
      </c>
      <c r="I142" s="42">
        <f t="shared" ca="1" si="4"/>
        <v>46324.99402395833</v>
      </c>
    </row>
    <row r="143" spans="1:9" x14ac:dyDescent="0.3">
      <c r="A143" s="2" t="s">
        <v>66</v>
      </c>
      <c r="B143" s="2" t="s">
        <v>18</v>
      </c>
      <c r="C143" s="2" t="s">
        <v>12</v>
      </c>
      <c r="D143" s="20">
        <v>1231.26</v>
      </c>
      <c r="E143" s="6">
        <v>9</v>
      </c>
      <c r="F143" s="8">
        <v>0</v>
      </c>
      <c r="G143" s="7">
        <v>45646</v>
      </c>
      <c r="H143" s="41">
        <v>492.5</v>
      </c>
      <c r="I143" s="42">
        <f t="shared" ca="1" si="4"/>
        <v>46324.99402395833</v>
      </c>
    </row>
    <row r="144" spans="1:9" x14ac:dyDescent="0.3">
      <c r="A144" s="10" t="s">
        <v>43</v>
      </c>
      <c r="B144" s="10" t="s">
        <v>11</v>
      </c>
      <c r="C144" s="10" t="s">
        <v>21</v>
      </c>
      <c r="D144" s="19">
        <v>1161.67</v>
      </c>
      <c r="E144" s="11">
        <v>19</v>
      </c>
      <c r="F144" s="12">
        <v>0.2</v>
      </c>
      <c r="G144" s="13">
        <v>45647</v>
      </c>
      <c r="H144" s="40">
        <v>232.33</v>
      </c>
      <c r="I144" s="42">
        <f t="shared" ca="1" si="4"/>
        <v>46324.99402395833</v>
      </c>
    </row>
    <row r="145" spans="1:9" x14ac:dyDescent="0.3">
      <c r="A145" s="2" t="s">
        <v>45</v>
      </c>
      <c r="B145" s="2" t="s">
        <v>34</v>
      </c>
      <c r="C145" s="2" t="s">
        <v>39</v>
      </c>
      <c r="D145" s="20">
        <v>388.23</v>
      </c>
      <c r="E145" s="6">
        <v>16</v>
      </c>
      <c r="F145" s="8">
        <v>0.05</v>
      </c>
      <c r="G145" s="7">
        <v>45650</v>
      </c>
      <c r="H145" s="41">
        <v>165.97</v>
      </c>
      <c r="I145" s="42">
        <f t="shared" ca="1" si="4"/>
        <v>46324.99402395833</v>
      </c>
    </row>
    <row r="146" spans="1:9" x14ac:dyDescent="0.3">
      <c r="A146" s="10" t="s">
        <v>31</v>
      </c>
      <c r="B146" s="10" t="s">
        <v>24</v>
      </c>
      <c r="C146" s="10" t="s">
        <v>15</v>
      </c>
      <c r="D146" s="19">
        <v>1589.42</v>
      </c>
      <c r="E146" s="11">
        <v>6</v>
      </c>
      <c r="F146" s="12">
        <v>0.15</v>
      </c>
      <c r="G146" s="13">
        <v>45651</v>
      </c>
      <c r="H146" s="40">
        <v>675.5</v>
      </c>
      <c r="I146" s="42">
        <f t="shared" ca="1" si="4"/>
        <v>46324.99402395833</v>
      </c>
    </row>
    <row r="147" spans="1:9" x14ac:dyDescent="0.3">
      <c r="A147" s="2" t="s">
        <v>71</v>
      </c>
      <c r="B147" s="2" t="s">
        <v>24</v>
      </c>
      <c r="C147" s="2" t="s">
        <v>15</v>
      </c>
      <c r="D147" s="20">
        <v>336.66</v>
      </c>
      <c r="E147" s="6">
        <v>13</v>
      </c>
      <c r="F147" s="8">
        <v>0.2</v>
      </c>
      <c r="G147" s="7">
        <v>45651</v>
      </c>
      <c r="H147" s="41">
        <v>134.66</v>
      </c>
      <c r="I147" s="42">
        <f t="shared" ca="1" si="4"/>
        <v>46324.99402395833</v>
      </c>
    </row>
    <row r="148" spans="1:9" x14ac:dyDescent="0.3">
      <c r="A148" s="10" t="s">
        <v>23</v>
      </c>
      <c r="B148" s="10" t="s">
        <v>11</v>
      </c>
      <c r="C148" s="10" t="s">
        <v>12</v>
      </c>
      <c r="D148" s="19">
        <v>1353.79</v>
      </c>
      <c r="E148" s="11">
        <v>14</v>
      </c>
      <c r="F148" s="12">
        <v>0.1</v>
      </c>
      <c r="G148" s="13">
        <v>45656</v>
      </c>
      <c r="H148" s="40">
        <v>487.36</v>
      </c>
      <c r="I148" s="42">
        <f t="shared" ca="1" si="4"/>
        <v>46324.99402395833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79B8A8-8CB4-4EAD-9B80-D9FCB70AA75A}">
  <dimension ref="A1:O21"/>
  <sheetViews>
    <sheetView topLeftCell="C1" zoomScale="164" zoomScaleNormal="130" workbookViewId="0">
      <selection activeCell="I17" sqref="I17"/>
    </sheetView>
  </sheetViews>
  <sheetFormatPr defaultRowHeight="14.4" x14ac:dyDescent="0.3"/>
  <cols>
    <col min="1" max="1" width="14.88671875" bestFit="1" customWidth="1"/>
    <col min="2" max="2" width="6.5546875" bestFit="1" customWidth="1"/>
    <col min="3" max="3" width="15.77734375" bestFit="1" customWidth="1"/>
    <col min="4" max="4" width="6" bestFit="1" customWidth="1"/>
    <col min="5" max="5" width="8" bestFit="1" customWidth="1"/>
    <col min="6" max="6" width="8.109375" bestFit="1" customWidth="1"/>
    <col min="7" max="7" width="6" bestFit="1" customWidth="1"/>
    <col min="8" max="8" width="5.6640625" bestFit="1" customWidth="1"/>
    <col min="9" max="9" width="26.44140625" bestFit="1" customWidth="1"/>
    <col min="10" max="10" width="11.21875" customWidth="1"/>
    <col min="11" max="11" width="10.21875" bestFit="1" customWidth="1"/>
  </cols>
  <sheetData>
    <row r="1" spans="1:15" x14ac:dyDescent="0.3">
      <c r="A1" s="46" t="s">
        <v>1</v>
      </c>
      <c r="B1" s="46" t="s">
        <v>2</v>
      </c>
      <c r="C1" s="46" t="s">
        <v>3</v>
      </c>
      <c r="D1" s="46" t="s">
        <v>4</v>
      </c>
      <c r="E1" s="46" t="s">
        <v>5</v>
      </c>
      <c r="F1" s="46" t="s">
        <v>6</v>
      </c>
      <c r="G1" s="46" t="s">
        <v>8</v>
      </c>
      <c r="I1" s="47" t="s">
        <v>122</v>
      </c>
      <c r="J1" s="47"/>
      <c r="K1" s="47"/>
      <c r="L1" s="47"/>
      <c r="M1" s="47"/>
      <c r="N1" s="47"/>
      <c r="O1" s="47"/>
    </row>
    <row r="2" spans="1:15" x14ac:dyDescent="0.3">
      <c r="A2" t="s">
        <v>117</v>
      </c>
      <c r="B2" t="s">
        <v>11</v>
      </c>
      <c r="C2" t="s">
        <v>21</v>
      </c>
      <c r="D2">
        <v>45000</v>
      </c>
      <c r="E2">
        <v>2</v>
      </c>
      <c r="F2" s="1">
        <v>0.1</v>
      </c>
      <c r="G2">
        <v>8500</v>
      </c>
      <c r="I2" t="str" cm="1">
        <f t="array" ref="I2:O8">_xlfn._xlws.FILTER(A2:G21,(D2:D21&gt;50000)*(G2:G21&gt;10000),"No customers found")</f>
        <v>Rahul Mehta</v>
      </c>
      <c r="J2" t="str">
        <v>South</v>
      </c>
      <c r="K2" t="str">
        <v>Electronics</v>
      </c>
      <c r="L2">
        <v>65000</v>
      </c>
      <c r="M2">
        <v>3</v>
      </c>
      <c r="N2">
        <v>0.15</v>
      </c>
      <c r="O2">
        <v>12000</v>
      </c>
    </row>
    <row r="3" spans="1:15" x14ac:dyDescent="0.3">
      <c r="A3" t="s">
        <v>118</v>
      </c>
      <c r="B3" t="s">
        <v>24</v>
      </c>
      <c r="C3" t="s">
        <v>27</v>
      </c>
      <c r="D3">
        <v>18000</v>
      </c>
      <c r="E3">
        <v>3</v>
      </c>
      <c r="F3" s="1">
        <v>0.05</v>
      </c>
      <c r="G3">
        <v>3200</v>
      </c>
      <c r="I3" t="str">
        <v>Rohan Shah</v>
      </c>
      <c r="J3" t="str">
        <v>South</v>
      </c>
      <c r="K3" t="str">
        <v>Electronics</v>
      </c>
      <c r="L3">
        <v>85000</v>
      </c>
      <c r="M3">
        <v>4</v>
      </c>
      <c r="N3">
        <v>0.12</v>
      </c>
      <c r="O3">
        <v>16000</v>
      </c>
    </row>
    <row r="4" spans="1:15" x14ac:dyDescent="0.3">
      <c r="A4" t="s">
        <v>119</v>
      </c>
      <c r="B4" t="s">
        <v>20</v>
      </c>
      <c r="C4" t="s">
        <v>21</v>
      </c>
      <c r="D4">
        <v>65000</v>
      </c>
      <c r="E4">
        <v>3</v>
      </c>
      <c r="F4" s="1">
        <v>0.15</v>
      </c>
      <c r="G4">
        <v>12000</v>
      </c>
      <c r="I4" t="str">
        <v>Vivek Mehta</v>
      </c>
      <c r="J4" t="str">
        <v>West</v>
      </c>
      <c r="K4" t="str">
        <v>Electronics</v>
      </c>
      <c r="L4">
        <v>55000</v>
      </c>
      <c r="M4">
        <v>2</v>
      </c>
      <c r="N4">
        <v>0.1</v>
      </c>
      <c r="O4">
        <v>10500</v>
      </c>
    </row>
    <row r="5" spans="1:15" x14ac:dyDescent="0.3">
      <c r="A5" t="s">
        <v>120</v>
      </c>
      <c r="B5" t="s">
        <v>18</v>
      </c>
      <c r="C5" t="s">
        <v>15</v>
      </c>
      <c r="D5">
        <v>12000</v>
      </c>
      <c r="E5">
        <v>4</v>
      </c>
      <c r="F5" s="1">
        <v>0.05</v>
      </c>
      <c r="G5">
        <v>2400</v>
      </c>
      <c r="I5" t="str">
        <v>Pooja Shah</v>
      </c>
      <c r="J5" t="str">
        <v>East</v>
      </c>
      <c r="K5" t="str">
        <v>Electronics</v>
      </c>
      <c r="L5">
        <v>72000</v>
      </c>
      <c r="M5">
        <v>3</v>
      </c>
      <c r="N5">
        <v>0.15</v>
      </c>
      <c r="O5">
        <v>13500</v>
      </c>
    </row>
    <row r="6" spans="1:15" x14ac:dyDescent="0.3">
      <c r="A6" t="s">
        <v>121</v>
      </c>
      <c r="B6" t="s">
        <v>11</v>
      </c>
      <c r="C6" t="s">
        <v>27</v>
      </c>
      <c r="D6">
        <v>38000</v>
      </c>
      <c r="E6">
        <v>2</v>
      </c>
      <c r="F6" s="1">
        <v>0.1</v>
      </c>
      <c r="G6">
        <v>7000</v>
      </c>
      <c r="I6" t="str">
        <v>Mira Trivedi</v>
      </c>
      <c r="J6" t="str">
        <v>North</v>
      </c>
      <c r="K6" t="str">
        <v>Electronics</v>
      </c>
      <c r="L6">
        <v>95000</v>
      </c>
      <c r="M6">
        <v>5</v>
      </c>
      <c r="N6">
        <v>0.1</v>
      </c>
      <c r="O6">
        <v>19000</v>
      </c>
    </row>
    <row r="7" spans="1:15" x14ac:dyDescent="0.3">
      <c r="A7" t="s">
        <v>102</v>
      </c>
      <c r="B7" t="s">
        <v>24</v>
      </c>
      <c r="C7" t="s">
        <v>12</v>
      </c>
      <c r="D7">
        <v>8000</v>
      </c>
      <c r="E7">
        <v>5</v>
      </c>
      <c r="F7" s="1">
        <v>0</v>
      </c>
      <c r="G7">
        <v>2000</v>
      </c>
      <c r="I7" t="str">
        <v>Manav Patel</v>
      </c>
      <c r="J7" t="str">
        <v>South</v>
      </c>
      <c r="K7" t="str">
        <v>Furniture</v>
      </c>
      <c r="L7">
        <v>58000</v>
      </c>
      <c r="M7">
        <v>3</v>
      </c>
      <c r="N7">
        <v>0.12</v>
      </c>
      <c r="O7">
        <v>11000</v>
      </c>
    </row>
    <row r="8" spans="1:15" x14ac:dyDescent="0.3">
      <c r="A8" t="s">
        <v>103</v>
      </c>
      <c r="B8" t="s">
        <v>20</v>
      </c>
      <c r="C8" t="s">
        <v>21</v>
      </c>
      <c r="D8">
        <v>85000</v>
      </c>
      <c r="E8">
        <v>4</v>
      </c>
      <c r="F8" s="1">
        <v>0.12</v>
      </c>
      <c r="G8">
        <v>16000</v>
      </c>
      <c r="I8" t="str">
        <v>Sana Mehta</v>
      </c>
      <c r="J8" t="str">
        <v>East</v>
      </c>
      <c r="K8" t="str">
        <v>Electronics</v>
      </c>
      <c r="L8">
        <v>78000</v>
      </c>
      <c r="M8">
        <v>4</v>
      </c>
      <c r="N8">
        <v>0.1</v>
      </c>
      <c r="O8">
        <v>15000</v>
      </c>
    </row>
    <row r="9" spans="1:15" x14ac:dyDescent="0.3">
      <c r="A9" t="s">
        <v>104</v>
      </c>
      <c r="B9" t="s">
        <v>18</v>
      </c>
      <c r="C9" t="s">
        <v>15</v>
      </c>
      <c r="D9">
        <v>22000</v>
      </c>
      <c r="E9">
        <v>6</v>
      </c>
      <c r="F9" s="1">
        <v>0.08</v>
      </c>
      <c r="G9">
        <v>4500</v>
      </c>
    </row>
    <row r="10" spans="1:15" x14ac:dyDescent="0.3">
      <c r="A10" t="s">
        <v>105</v>
      </c>
      <c r="B10" t="s">
        <v>11</v>
      </c>
      <c r="C10" t="s">
        <v>21</v>
      </c>
      <c r="D10">
        <v>55000</v>
      </c>
      <c r="E10">
        <v>2</v>
      </c>
      <c r="F10" s="1">
        <v>0.1</v>
      </c>
      <c r="G10">
        <v>10500</v>
      </c>
      <c r="I10" s="46" t="s">
        <v>123</v>
      </c>
    </row>
    <row r="11" spans="1:15" x14ac:dyDescent="0.3">
      <c r="A11" t="s">
        <v>106</v>
      </c>
      <c r="B11" t="s">
        <v>24</v>
      </c>
      <c r="C11" t="s">
        <v>27</v>
      </c>
      <c r="D11">
        <v>28000</v>
      </c>
      <c r="E11">
        <v>3</v>
      </c>
      <c r="F11" s="1">
        <v>0.05</v>
      </c>
      <c r="G11">
        <v>5200</v>
      </c>
      <c r="I11">
        <f>INDEX(D2:D21,MATCH(A15,A2:A21,0))</f>
        <v>95000</v>
      </c>
    </row>
    <row r="12" spans="1:15" x14ac:dyDescent="0.3">
      <c r="A12" t="s">
        <v>107</v>
      </c>
      <c r="B12" t="s">
        <v>20</v>
      </c>
      <c r="C12" t="s">
        <v>12</v>
      </c>
      <c r="D12">
        <v>6000</v>
      </c>
      <c r="E12">
        <v>3</v>
      </c>
      <c r="F12" s="1">
        <v>0</v>
      </c>
      <c r="G12">
        <v>1500</v>
      </c>
      <c r="I12" s="46" t="s">
        <v>124</v>
      </c>
    </row>
    <row r="13" spans="1:15" x14ac:dyDescent="0.3">
      <c r="A13" t="s">
        <v>108</v>
      </c>
      <c r="B13" t="s">
        <v>18</v>
      </c>
      <c r="C13" t="s">
        <v>21</v>
      </c>
      <c r="D13">
        <v>72000</v>
      </c>
      <c r="E13">
        <v>3</v>
      </c>
      <c r="F13" s="1">
        <v>0.15</v>
      </c>
      <c r="G13">
        <v>13500</v>
      </c>
      <c r="I13" t="str">
        <f>INDEX(A2:A21,MATCH(MAX(D2:D21),D2:D21,0))</f>
        <v>Mira Trivedi</v>
      </c>
    </row>
    <row r="14" spans="1:15" x14ac:dyDescent="0.3">
      <c r="A14" t="s">
        <v>109</v>
      </c>
      <c r="B14" t="s">
        <v>11</v>
      </c>
      <c r="C14" t="s">
        <v>15</v>
      </c>
      <c r="D14">
        <v>15000</v>
      </c>
      <c r="E14">
        <v>5</v>
      </c>
      <c r="F14" s="1">
        <v>0.05</v>
      </c>
      <c r="G14">
        <v>3000</v>
      </c>
    </row>
    <row r="15" spans="1:15" x14ac:dyDescent="0.3">
      <c r="A15" t="s">
        <v>110</v>
      </c>
      <c r="B15" t="s">
        <v>24</v>
      </c>
      <c r="C15" t="s">
        <v>21</v>
      </c>
      <c r="D15">
        <v>95000</v>
      </c>
      <c r="E15">
        <v>5</v>
      </c>
      <c r="F15" s="1">
        <v>0.1</v>
      </c>
      <c r="G15">
        <v>19000</v>
      </c>
    </row>
    <row r="16" spans="1:15" x14ac:dyDescent="0.3">
      <c r="A16" t="s">
        <v>111</v>
      </c>
      <c r="B16" t="s">
        <v>20</v>
      </c>
      <c r="C16" t="s">
        <v>27</v>
      </c>
      <c r="D16">
        <v>42000</v>
      </c>
      <c r="E16">
        <v>2</v>
      </c>
      <c r="F16" s="1">
        <v>0.08</v>
      </c>
      <c r="G16">
        <v>8000</v>
      </c>
    </row>
    <row r="17" spans="1:7" x14ac:dyDescent="0.3">
      <c r="A17" t="s">
        <v>112</v>
      </c>
      <c r="B17" t="s">
        <v>18</v>
      </c>
      <c r="C17" t="s">
        <v>12</v>
      </c>
      <c r="D17">
        <v>10000</v>
      </c>
      <c r="E17">
        <v>4</v>
      </c>
      <c r="F17" s="1">
        <v>0</v>
      </c>
      <c r="G17">
        <v>2500</v>
      </c>
    </row>
    <row r="18" spans="1:7" x14ac:dyDescent="0.3">
      <c r="A18" t="s">
        <v>113</v>
      </c>
      <c r="B18" t="s">
        <v>11</v>
      </c>
      <c r="C18" t="s">
        <v>21</v>
      </c>
      <c r="D18">
        <v>32000</v>
      </c>
      <c r="E18">
        <v>2</v>
      </c>
      <c r="F18" s="1">
        <v>0.05</v>
      </c>
      <c r="G18">
        <v>6200</v>
      </c>
    </row>
    <row r="19" spans="1:7" x14ac:dyDescent="0.3">
      <c r="A19" t="s">
        <v>114</v>
      </c>
      <c r="B19" t="s">
        <v>24</v>
      </c>
      <c r="C19" t="s">
        <v>15</v>
      </c>
      <c r="D19">
        <v>25000</v>
      </c>
      <c r="E19">
        <v>7</v>
      </c>
      <c r="F19" s="1">
        <v>0.1</v>
      </c>
      <c r="G19">
        <v>4800</v>
      </c>
    </row>
    <row r="20" spans="1:7" x14ac:dyDescent="0.3">
      <c r="A20" t="s">
        <v>115</v>
      </c>
      <c r="B20" t="s">
        <v>20</v>
      </c>
      <c r="C20" t="s">
        <v>27</v>
      </c>
      <c r="D20">
        <v>58000</v>
      </c>
      <c r="E20">
        <v>3</v>
      </c>
      <c r="F20" s="1">
        <v>0.12</v>
      </c>
      <c r="G20">
        <v>11000</v>
      </c>
    </row>
    <row r="21" spans="1:7" x14ac:dyDescent="0.3">
      <c r="A21" t="s">
        <v>116</v>
      </c>
      <c r="B21" t="s">
        <v>18</v>
      </c>
      <c r="C21" t="s">
        <v>21</v>
      </c>
      <c r="D21">
        <v>78000</v>
      </c>
      <c r="E21">
        <v>4</v>
      </c>
      <c r="F21" s="1">
        <v>0.1</v>
      </c>
      <c r="G21">
        <v>15000</v>
      </c>
    </row>
  </sheetData>
  <mergeCells count="1">
    <mergeCell ref="I1:O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943C29-1C0D-4991-BE0E-933FD595E494}">
  <dimension ref="A1:K201"/>
  <sheetViews>
    <sheetView zoomScale="175" workbookViewId="0">
      <selection activeCell="F11" sqref="F11"/>
    </sheetView>
  </sheetViews>
  <sheetFormatPr defaultRowHeight="14.4" x14ac:dyDescent="0.3"/>
  <cols>
    <col min="1" max="1" width="15.6640625" bestFit="1" customWidth="1"/>
    <col min="2" max="2" width="6.88671875" bestFit="1" customWidth="1"/>
    <col min="3" max="3" width="16.33203125" bestFit="1" customWidth="1"/>
    <col min="4" max="4" width="6.6640625" bestFit="1" customWidth="1"/>
    <col min="5" max="6" width="8.33203125" bestFit="1" customWidth="1"/>
    <col min="7" max="7" width="10.88671875" bestFit="1" customWidth="1"/>
    <col min="8" max="8" width="5.6640625" bestFit="1" customWidth="1"/>
    <col min="10" max="10" width="13.109375" bestFit="1" customWidth="1"/>
    <col min="11" max="11" width="11.6640625" bestFit="1" customWidth="1"/>
  </cols>
  <sheetData>
    <row r="1" spans="1:11" x14ac:dyDescent="0.3">
      <c r="A1" s="18" t="s">
        <v>1</v>
      </c>
      <c r="B1" s="18" t="s">
        <v>2</v>
      </c>
      <c r="C1" s="18" t="s">
        <v>3</v>
      </c>
      <c r="D1" s="18" t="s">
        <v>4</v>
      </c>
      <c r="E1" s="18" t="s">
        <v>5</v>
      </c>
      <c r="F1" s="18" t="s">
        <v>6</v>
      </c>
      <c r="G1" s="18" t="s">
        <v>7</v>
      </c>
      <c r="H1" s="18" t="s">
        <v>8</v>
      </c>
      <c r="J1" s="46" t="s">
        <v>128</v>
      </c>
      <c r="K1" s="46"/>
    </row>
    <row r="2" spans="1:11" x14ac:dyDescent="0.3">
      <c r="A2" s="10" t="s">
        <v>10</v>
      </c>
      <c r="B2" s="10" t="s">
        <v>11</v>
      </c>
      <c r="C2" s="10" t="s">
        <v>12</v>
      </c>
      <c r="D2" s="19">
        <v>1036.0899999999999</v>
      </c>
      <c r="E2" s="11">
        <v>4</v>
      </c>
      <c r="F2" s="12">
        <v>0.2</v>
      </c>
      <c r="G2" s="13">
        <v>45392</v>
      </c>
      <c r="H2" s="22">
        <v>331.55</v>
      </c>
      <c r="J2" s="48" t="s">
        <v>125</v>
      </c>
      <c r="K2" t="s">
        <v>127</v>
      </c>
    </row>
    <row r="3" spans="1:11" x14ac:dyDescent="0.3">
      <c r="A3" s="2" t="s">
        <v>14</v>
      </c>
      <c r="B3" s="2" t="s">
        <v>11</v>
      </c>
      <c r="C3" s="2" t="s">
        <v>15</v>
      </c>
      <c r="D3" s="20">
        <v>1101.28</v>
      </c>
      <c r="E3" s="6">
        <v>3</v>
      </c>
      <c r="F3" s="8">
        <v>0.2</v>
      </c>
      <c r="G3" s="7">
        <v>45393</v>
      </c>
      <c r="H3" s="23">
        <v>440.51</v>
      </c>
      <c r="J3" s="49" t="s">
        <v>34</v>
      </c>
      <c r="K3" s="25">
        <v>43468.33</v>
      </c>
    </row>
    <row r="4" spans="1:11" x14ac:dyDescent="0.3">
      <c r="A4" s="10" t="s">
        <v>17</v>
      </c>
      <c r="B4" s="10" t="s">
        <v>18</v>
      </c>
      <c r="C4" s="10" t="s">
        <v>12</v>
      </c>
      <c r="D4" s="19">
        <v>713.34</v>
      </c>
      <c r="E4" s="11">
        <v>17</v>
      </c>
      <c r="F4" s="12">
        <v>0</v>
      </c>
      <c r="G4" s="13">
        <v>45396</v>
      </c>
      <c r="H4" s="22">
        <v>285.33999999999997</v>
      </c>
      <c r="J4" s="49" t="s">
        <v>18</v>
      </c>
      <c r="K4" s="25">
        <v>32441.64</v>
      </c>
    </row>
    <row r="5" spans="1:11" x14ac:dyDescent="0.3">
      <c r="A5" s="2" t="s">
        <v>14</v>
      </c>
      <c r="B5" s="2" t="s">
        <v>20</v>
      </c>
      <c r="C5" s="2" t="s">
        <v>21</v>
      </c>
      <c r="D5" s="20">
        <v>760.93</v>
      </c>
      <c r="E5" s="6">
        <v>4</v>
      </c>
      <c r="F5" s="8">
        <v>0.15</v>
      </c>
      <c r="G5" s="7">
        <v>45396</v>
      </c>
      <c r="H5" s="23">
        <v>161.69999999999999</v>
      </c>
      <c r="J5" s="49" t="s">
        <v>24</v>
      </c>
      <c r="K5" s="25">
        <v>34975.42</v>
      </c>
    </row>
    <row r="6" spans="1:11" x14ac:dyDescent="0.3">
      <c r="A6" s="10" t="s">
        <v>23</v>
      </c>
      <c r="B6" s="10" t="s">
        <v>24</v>
      </c>
      <c r="C6" s="10" t="s">
        <v>12</v>
      </c>
      <c r="D6" s="19">
        <v>847</v>
      </c>
      <c r="E6" s="11">
        <v>12</v>
      </c>
      <c r="F6" s="12">
        <v>0.2</v>
      </c>
      <c r="G6" s="13">
        <v>45397</v>
      </c>
      <c r="H6" s="22">
        <v>271.04000000000002</v>
      </c>
      <c r="J6" s="49" t="s">
        <v>20</v>
      </c>
      <c r="K6" s="25">
        <v>40248.79</v>
      </c>
    </row>
    <row r="7" spans="1:11" x14ac:dyDescent="0.3">
      <c r="A7" s="2" t="s">
        <v>26</v>
      </c>
      <c r="B7" s="2" t="s">
        <v>24</v>
      </c>
      <c r="C7" s="2" t="s">
        <v>27</v>
      </c>
      <c r="D7" s="20">
        <v>965.64</v>
      </c>
      <c r="E7" s="6">
        <v>8</v>
      </c>
      <c r="F7" s="8">
        <v>0.1</v>
      </c>
      <c r="G7" s="7">
        <v>45398</v>
      </c>
      <c r="H7" s="23">
        <v>304.18</v>
      </c>
      <c r="J7" s="49" t="s">
        <v>11</v>
      </c>
      <c r="K7" s="25">
        <v>44083.58</v>
      </c>
    </row>
    <row r="8" spans="1:11" x14ac:dyDescent="0.3">
      <c r="A8" s="10" t="s">
        <v>29</v>
      </c>
      <c r="B8" s="10" t="s">
        <v>11</v>
      </c>
      <c r="C8" s="10" t="s">
        <v>21</v>
      </c>
      <c r="D8" s="19">
        <v>1317.53</v>
      </c>
      <c r="E8" s="11">
        <v>12</v>
      </c>
      <c r="F8" s="12">
        <v>0.05</v>
      </c>
      <c r="G8" s="13">
        <v>45398</v>
      </c>
      <c r="H8" s="22">
        <v>312.91000000000003</v>
      </c>
      <c r="J8" s="49" t="s">
        <v>126</v>
      </c>
      <c r="K8" s="25">
        <v>195217.76</v>
      </c>
    </row>
    <row r="9" spans="1:11" x14ac:dyDescent="0.3">
      <c r="A9" s="2" t="s">
        <v>31</v>
      </c>
      <c r="B9" s="2" t="s">
        <v>18</v>
      </c>
      <c r="C9" s="2" t="s">
        <v>27</v>
      </c>
      <c r="D9" s="20">
        <v>1074.47</v>
      </c>
      <c r="E9" s="6">
        <v>6</v>
      </c>
      <c r="F9" s="8">
        <v>0.2</v>
      </c>
      <c r="G9" s="7">
        <v>45401</v>
      </c>
      <c r="H9" s="23">
        <v>300.85000000000002</v>
      </c>
    </row>
    <row r="10" spans="1:11" x14ac:dyDescent="0.3">
      <c r="A10" s="10" t="s">
        <v>33</v>
      </c>
      <c r="B10" s="10" t="s">
        <v>34</v>
      </c>
      <c r="C10" s="10" t="s">
        <v>12</v>
      </c>
      <c r="D10" s="19">
        <v>501.54</v>
      </c>
      <c r="E10" s="11">
        <v>11</v>
      </c>
      <c r="F10" s="12">
        <v>0.05</v>
      </c>
      <c r="G10" s="13">
        <v>45401</v>
      </c>
      <c r="H10" s="22">
        <v>190.59</v>
      </c>
      <c r="J10" s="47" t="s">
        <v>129</v>
      </c>
      <c r="K10" s="47"/>
    </row>
    <row r="11" spans="1:11" x14ac:dyDescent="0.3">
      <c r="A11" s="2" t="s">
        <v>36</v>
      </c>
      <c r="B11" s="2" t="s">
        <v>34</v>
      </c>
      <c r="C11" s="2" t="s">
        <v>15</v>
      </c>
      <c r="D11" s="20">
        <v>737.31</v>
      </c>
      <c r="E11" s="6">
        <v>2</v>
      </c>
      <c r="F11" s="8">
        <v>0.05</v>
      </c>
      <c r="G11" s="7">
        <v>45401</v>
      </c>
      <c r="H11" s="23">
        <v>350.22</v>
      </c>
      <c r="J11" s="48" t="s">
        <v>125</v>
      </c>
      <c r="K11" t="s">
        <v>127</v>
      </c>
    </row>
    <row r="12" spans="1:11" x14ac:dyDescent="0.3">
      <c r="A12" s="10" t="s">
        <v>38</v>
      </c>
      <c r="B12" s="10" t="s">
        <v>11</v>
      </c>
      <c r="C12" s="10" t="s">
        <v>39</v>
      </c>
      <c r="D12" s="19">
        <v>1572.82</v>
      </c>
      <c r="E12" s="11">
        <v>6</v>
      </c>
      <c r="F12" s="12">
        <v>0.05</v>
      </c>
      <c r="G12" s="13">
        <v>45402</v>
      </c>
      <c r="H12" s="22">
        <v>672.38</v>
      </c>
      <c r="J12" s="49" t="s">
        <v>12</v>
      </c>
      <c r="K12" s="25">
        <v>47002.460000000006</v>
      </c>
    </row>
    <row r="13" spans="1:11" x14ac:dyDescent="0.3">
      <c r="A13" s="2" t="s">
        <v>36</v>
      </c>
      <c r="B13" s="2" t="s">
        <v>34</v>
      </c>
      <c r="C13" s="2" t="s">
        <v>12</v>
      </c>
      <c r="D13" s="20">
        <v>1343.13</v>
      </c>
      <c r="E13" s="6">
        <v>14</v>
      </c>
      <c r="F13" s="8">
        <v>0.15</v>
      </c>
      <c r="G13" s="7">
        <v>45404</v>
      </c>
      <c r="H13" s="23">
        <v>456.66</v>
      </c>
      <c r="J13" s="49" t="s">
        <v>15</v>
      </c>
      <c r="K13" s="25">
        <v>41927.589999999989</v>
      </c>
    </row>
    <row r="14" spans="1:11" x14ac:dyDescent="0.3">
      <c r="A14" s="10" t="s">
        <v>26</v>
      </c>
      <c r="B14" s="10" t="s">
        <v>34</v>
      </c>
      <c r="C14" s="10" t="s">
        <v>12</v>
      </c>
      <c r="D14" s="19">
        <v>1191.58</v>
      </c>
      <c r="E14" s="11">
        <v>14</v>
      </c>
      <c r="F14" s="12">
        <v>0.05</v>
      </c>
      <c r="G14" s="13">
        <v>45406</v>
      </c>
      <c r="H14" s="22">
        <v>452.8</v>
      </c>
      <c r="J14" s="49" t="s">
        <v>21</v>
      </c>
      <c r="K14" s="25">
        <v>41044.000000000007</v>
      </c>
    </row>
    <row r="15" spans="1:11" x14ac:dyDescent="0.3">
      <c r="A15" s="2" t="s">
        <v>14</v>
      </c>
      <c r="B15" s="2" t="s">
        <v>11</v>
      </c>
      <c r="C15" s="2" t="s">
        <v>27</v>
      </c>
      <c r="D15" s="20">
        <v>822.28</v>
      </c>
      <c r="E15" s="6">
        <v>7</v>
      </c>
      <c r="F15" s="8">
        <v>0.05</v>
      </c>
      <c r="G15" s="7">
        <v>45406</v>
      </c>
      <c r="H15" s="23">
        <v>273.41000000000003</v>
      </c>
      <c r="J15" s="49" t="s">
        <v>27</v>
      </c>
      <c r="K15" s="25">
        <v>36612.89</v>
      </c>
    </row>
    <row r="16" spans="1:11" x14ac:dyDescent="0.3">
      <c r="A16" s="10" t="s">
        <v>42</v>
      </c>
      <c r="B16" s="10" t="s">
        <v>24</v>
      </c>
      <c r="C16" s="10" t="s">
        <v>27</v>
      </c>
      <c r="D16" s="19">
        <v>521.66999999999996</v>
      </c>
      <c r="E16" s="11">
        <v>15</v>
      </c>
      <c r="F16" s="12">
        <v>0.15</v>
      </c>
      <c r="G16" s="13">
        <v>45409</v>
      </c>
      <c r="H16" s="22">
        <v>155.19999999999999</v>
      </c>
      <c r="J16" s="49" t="s">
        <v>39</v>
      </c>
      <c r="K16" s="25">
        <v>28630.819999999992</v>
      </c>
    </row>
    <row r="17" spans="1:11" x14ac:dyDescent="0.3">
      <c r="A17" s="2" t="s">
        <v>43</v>
      </c>
      <c r="B17" s="2" t="s">
        <v>20</v>
      </c>
      <c r="C17" s="2" t="s">
        <v>21</v>
      </c>
      <c r="D17" s="20">
        <v>1502.93</v>
      </c>
      <c r="E17" s="6">
        <v>14</v>
      </c>
      <c r="F17" s="8">
        <v>0.2</v>
      </c>
      <c r="G17" s="7">
        <v>45410</v>
      </c>
      <c r="H17" s="23">
        <v>300.58999999999997</v>
      </c>
      <c r="J17" s="49" t="s">
        <v>126</v>
      </c>
      <c r="K17" s="25">
        <v>195217.76</v>
      </c>
    </row>
    <row r="18" spans="1:11" x14ac:dyDescent="0.3">
      <c r="A18" s="10" t="s">
        <v>14</v>
      </c>
      <c r="B18" s="10" t="s">
        <v>20</v>
      </c>
      <c r="C18" s="10" t="s">
        <v>12</v>
      </c>
      <c r="D18" s="19">
        <v>877.58</v>
      </c>
      <c r="E18" s="11">
        <v>10</v>
      </c>
      <c r="F18" s="12">
        <v>0.15</v>
      </c>
      <c r="G18" s="13">
        <v>45411</v>
      </c>
      <c r="H18" s="22">
        <v>298.38</v>
      </c>
    </row>
    <row r="19" spans="1:11" x14ac:dyDescent="0.3">
      <c r="A19" s="2" t="s">
        <v>45</v>
      </c>
      <c r="B19" s="2" t="s">
        <v>11</v>
      </c>
      <c r="C19" s="2" t="s">
        <v>12</v>
      </c>
      <c r="D19" s="20">
        <v>636.70000000000005</v>
      </c>
      <c r="E19" s="6">
        <v>4</v>
      </c>
      <c r="F19" s="8">
        <v>0.2</v>
      </c>
      <c r="G19" s="7">
        <v>45411</v>
      </c>
      <c r="H19" s="23">
        <v>203.74</v>
      </c>
    </row>
    <row r="20" spans="1:11" x14ac:dyDescent="0.3">
      <c r="A20" s="10" t="s">
        <v>47</v>
      </c>
      <c r="B20" s="10" t="s">
        <v>11</v>
      </c>
      <c r="C20" s="10" t="s">
        <v>12</v>
      </c>
      <c r="D20" s="19">
        <v>1506.14</v>
      </c>
      <c r="E20" s="11">
        <v>13</v>
      </c>
      <c r="F20" s="12">
        <v>0.2</v>
      </c>
      <c r="G20" s="13">
        <v>45412</v>
      </c>
      <c r="H20" s="22">
        <v>481.96</v>
      </c>
    </row>
    <row r="21" spans="1:11" x14ac:dyDescent="0.3">
      <c r="A21" s="2" t="s">
        <v>31</v>
      </c>
      <c r="B21" s="2" t="s">
        <v>34</v>
      </c>
      <c r="C21" s="2" t="s">
        <v>21</v>
      </c>
      <c r="D21" s="20">
        <v>645.02</v>
      </c>
      <c r="E21" s="6">
        <v>4</v>
      </c>
      <c r="F21" s="8">
        <v>0</v>
      </c>
      <c r="G21" s="7">
        <v>45414</v>
      </c>
      <c r="H21" s="23">
        <v>161.26</v>
      </c>
    </row>
    <row r="22" spans="1:11" x14ac:dyDescent="0.3">
      <c r="A22" s="10" t="s">
        <v>48</v>
      </c>
      <c r="B22" s="10" t="s">
        <v>20</v>
      </c>
      <c r="C22" s="10" t="s">
        <v>15</v>
      </c>
      <c r="D22" s="19">
        <v>953.3</v>
      </c>
      <c r="E22" s="11">
        <v>11</v>
      </c>
      <c r="F22" s="12">
        <v>0</v>
      </c>
      <c r="G22" s="13">
        <v>45415</v>
      </c>
      <c r="H22" s="22">
        <v>476.65</v>
      </c>
    </row>
    <row r="23" spans="1:11" x14ac:dyDescent="0.3">
      <c r="A23" s="2" t="s">
        <v>14</v>
      </c>
      <c r="B23" s="2" t="s">
        <v>24</v>
      </c>
      <c r="C23" s="2" t="s">
        <v>21</v>
      </c>
      <c r="D23" s="20">
        <v>388.56</v>
      </c>
      <c r="E23" s="6">
        <v>14</v>
      </c>
      <c r="F23" s="8">
        <v>0.15</v>
      </c>
      <c r="G23" s="7">
        <v>45416</v>
      </c>
      <c r="H23" s="23">
        <v>82.57</v>
      </c>
    </row>
    <row r="24" spans="1:11" x14ac:dyDescent="0.3">
      <c r="A24" s="10" t="s">
        <v>31</v>
      </c>
      <c r="B24" s="10" t="s">
        <v>11</v>
      </c>
      <c r="C24" s="10" t="s">
        <v>12</v>
      </c>
      <c r="D24" s="19">
        <v>743.17</v>
      </c>
      <c r="E24" s="11">
        <v>9</v>
      </c>
      <c r="F24" s="12">
        <v>0</v>
      </c>
      <c r="G24" s="13">
        <v>45416</v>
      </c>
      <c r="H24" s="22">
        <v>297.27</v>
      </c>
    </row>
    <row r="25" spans="1:11" x14ac:dyDescent="0.3">
      <c r="A25" s="2" t="s">
        <v>31</v>
      </c>
      <c r="B25" s="2" t="s">
        <v>34</v>
      </c>
      <c r="C25" s="2" t="s">
        <v>21</v>
      </c>
      <c r="D25" s="20">
        <v>706.37</v>
      </c>
      <c r="E25" s="6">
        <v>6</v>
      </c>
      <c r="F25" s="8">
        <v>0</v>
      </c>
      <c r="G25" s="7">
        <v>45416</v>
      </c>
      <c r="H25" s="23">
        <v>176.59</v>
      </c>
    </row>
    <row r="26" spans="1:11" x14ac:dyDescent="0.3">
      <c r="A26" s="10" t="s">
        <v>31</v>
      </c>
      <c r="B26" s="10" t="s">
        <v>34</v>
      </c>
      <c r="C26" s="10" t="s">
        <v>39</v>
      </c>
      <c r="D26" s="19">
        <v>925.31</v>
      </c>
      <c r="E26" s="11">
        <v>8</v>
      </c>
      <c r="F26" s="12">
        <v>0.1</v>
      </c>
      <c r="G26" s="13">
        <v>45418</v>
      </c>
      <c r="H26" s="22">
        <v>374.75</v>
      </c>
    </row>
    <row r="27" spans="1:11" x14ac:dyDescent="0.3">
      <c r="A27" s="2" t="s">
        <v>50</v>
      </c>
      <c r="B27" s="2" t="s">
        <v>20</v>
      </c>
      <c r="C27" s="2" t="s">
        <v>21</v>
      </c>
      <c r="D27" s="20">
        <v>1173.1199999999999</v>
      </c>
      <c r="E27" s="6">
        <v>18</v>
      </c>
      <c r="F27" s="8">
        <v>0</v>
      </c>
      <c r="G27" s="7">
        <v>45418</v>
      </c>
      <c r="H27" s="23">
        <v>293.27999999999997</v>
      </c>
    </row>
    <row r="28" spans="1:11" x14ac:dyDescent="0.3">
      <c r="A28" s="10" t="s">
        <v>51</v>
      </c>
      <c r="B28" s="10" t="s">
        <v>24</v>
      </c>
      <c r="C28" s="10" t="s">
        <v>27</v>
      </c>
      <c r="D28" s="19">
        <v>675.54</v>
      </c>
      <c r="E28" s="11">
        <v>17</v>
      </c>
      <c r="F28" s="12">
        <v>0</v>
      </c>
      <c r="G28" s="13">
        <v>45420</v>
      </c>
      <c r="H28" s="22">
        <v>236.44</v>
      </c>
    </row>
    <row r="29" spans="1:11" x14ac:dyDescent="0.3">
      <c r="A29" s="2" t="s">
        <v>14</v>
      </c>
      <c r="B29" s="2" t="s">
        <v>34</v>
      </c>
      <c r="C29" s="2" t="s">
        <v>12</v>
      </c>
      <c r="D29" s="20">
        <v>939.09</v>
      </c>
      <c r="E29" s="6">
        <v>2</v>
      </c>
      <c r="F29" s="8">
        <v>0.05</v>
      </c>
      <c r="G29" s="7">
        <v>45422</v>
      </c>
      <c r="H29" s="23">
        <v>356.85</v>
      </c>
    </row>
    <row r="30" spans="1:11" x14ac:dyDescent="0.3">
      <c r="A30" s="10" t="s">
        <v>53</v>
      </c>
      <c r="B30" s="10" t="s">
        <v>18</v>
      </c>
      <c r="C30" s="10" t="s">
        <v>39</v>
      </c>
      <c r="D30" s="19">
        <v>983.34</v>
      </c>
      <c r="E30" s="11">
        <v>19</v>
      </c>
      <c r="F30" s="12">
        <v>0.1</v>
      </c>
      <c r="G30" s="13">
        <v>45426</v>
      </c>
      <c r="H30" s="22">
        <v>398.25</v>
      </c>
    </row>
    <row r="31" spans="1:11" x14ac:dyDescent="0.3">
      <c r="A31" s="2" t="s">
        <v>23</v>
      </c>
      <c r="B31" s="2" t="s">
        <v>20</v>
      </c>
      <c r="C31" s="2" t="s">
        <v>21</v>
      </c>
      <c r="D31" s="20">
        <v>801.21</v>
      </c>
      <c r="E31" s="6">
        <v>3</v>
      </c>
      <c r="F31" s="8">
        <v>0.2</v>
      </c>
      <c r="G31" s="7">
        <v>45426</v>
      </c>
      <c r="H31" s="23">
        <v>160.24</v>
      </c>
    </row>
    <row r="32" spans="1:11" x14ac:dyDescent="0.3">
      <c r="A32" s="10" t="s">
        <v>55</v>
      </c>
      <c r="B32" s="10" t="s">
        <v>24</v>
      </c>
      <c r="C32" s="10" t="s">
        <v>21</v>
      </c>
      <c r="D32" s="19">
        <v>1450.71</v>
      </c>
      <c r="E32" s="11">
        <v>5</v>
      </c>
      <c r="F32" s="12">
        <v>0.1</v>
      </c>
      <c r="G32" s="13">
        <v>45427</v>
      </c>
      <c r="H32" s="22">
        <v>326.41000000000003</v>
      </c>
    </row>
    <row r="33" spans="1:8" x14ac:dyDescent="0.3">
      <c r="A33" s="2" t="s">
        <v>56</v>
      </c>
      <c r="B33" s="2" t="s">
        <v>34</v>
      </c>
      <c r="C33" s="2" t="s">
        <v>12</v>
      </c>
      <c r="D33" s="20">
        <v>1023.21</v>
      </c>
      <c r="E33" s="6">
        <v>18</v>
      </c>
      <c r="F33" s="8">
        <v>0.05</v>
      </c>
      <c r="G33" s="7">
        <v>45428</v>
      </c>
      <c r="H33" s="23">
        <v>388.82</v>
      </c>
    </row>
    <row r="34" spans="1:8" x14ac:dyDescent="0.3">
      <c r="A34" s="10" t="s">
        <v>47</v>
      </c>
      <c r="B34" s="10" t="s">
        <v>11</v>
      </c>
      <c r="C34" s="10" t="s">
        <v>27</v>
      </c>
      <c r="D34" s="19">
        <v>853.72</v>
      </c>
      <c r="E34" s="11">
        <v>5</v>
      </c>
      <c r="F34" s="12">
        <v>0.15</v>
      </c>
      <c r="G34" s="13">
        <v>45428</v>
      </c>
      <c r="H34" s="22">
        <v>253.98</v>
      </c>
    </row>
    <row r="35" spans="1:8" x14ac:dyDescent="0.3">
      <c r="A35" s="2" t="s">
        <v>43</v>
      </c>
      <c r="B35" s="2" t="s">
        <v>20</v>
      </c>
      <c r="C35" s="2" t="s">
        <v>21</v>
      </c>
      <c r="D35" s="20">
        <v>967.89</v>
      </c>
      <c r="E35" s="6">
        <v>10</v>
      </c>
      <c r="F35" s="8">
        <v>0.1</v>
      </c>
      <c r="G35" s="7">
        <v>45429</v>
      </c>
      <c r="H35" s="23">
        <v>217.78</v>
      </c>
    </row>
    <row r="36" spans="1:8" x14ac:dyDescent="0.3">
      <c r="A36" s="10" t="s">
        <v>53</v>
      </c>
      <c r="B36" s="10" t="s">
        <v>24</v>
      </c>
      <c r="C36" s="10" t="s">
        <v>39</v>
      </c>
      <c r="D36" s="19">
        <v>1200.9000000000001</v>
      </c>
      <c r="E36" s="11">
        <v>14</v>
      </c>
      <c r="F36" s="12">
        <v>0.05</v>
      </c>
      <c r="G36" s="13">
        <v>45429</v>
      </c>
      <c r="H36" s="22">
        <v>513.38</v>
      </c>
    </row>
    <row r="37" spans="1:8" x14ac:dyDescent="0.3">
      <c r="A37" s="2" t="s">
        <v>26</v>
      </c>
      <c r="B37" s="2" t="s">
        <v>11</v>
      </c>
      <c r="C37" s="2" t="s">
        <v>12</v>
      </c>
      <c r="D37" s="20">
        <v>472.38</v>
      </c>
      <c r="E37" s="6">
        <v>12</v>
      </c>
      <c r="F37" s="8">
        <v>0.2</v>
      </c>
      <c r="G37" s="7">
        <v>45429</v>
      </c>
      <c r="H37" s="23">
        <v>151.16</v>
      </c>
    </row>
    <row r="38" spans="1:8" x14ac:dyDescent="0.3">
      <c r="A38" s="10" t="s">
        <v>55</v>
      </c>
      <c r="B38" s="10" t="s">
        <v>18</v>
      </c>
      <c r="C38" s="10" t="s">
        <v>39</v>
      </c>
      <c r="D38" s="19">
        <v>840.92</v>
      </c>
      <c r="E38" s="11">
        <v>9</v>
      </c>
      <c r="F38" s="12">
        <v>0.05</v>
      </c>
      <c r="G38" s="13">
        <v>45429</v>
      </c>
      <c r="H38" s="22">
        <v>359.49</v>
      </c>
    </row>
    <row r="39" spans="1:8" x14ac:dyDescent="0.3">
      <c r="A39" s="2" t="s">
        <v>48</v>
      </c>
      <c r="B39" s="2" t="s">
        <v>34</v>
      </c>
      <c r="C39" s="2" t="s">
        <v>27</v>
      </c>
      <c r="D39" s="20">
        <v>1410.06</v>
      </c>
      <c r="E39" s="6">
        <v>11</v>
      </c>
      <c r="F39" s="8">
        <v>0.05</v>
      </c>
      <c r="G39" s="7">
        <v>45434</v>
      </c>
      <c r="H39" s="23">
        <v>468.84</v>
      </c>
    </row>
    <row r="40" spans="1:8" x14ac:dyDescent="0.3">
      <c r="A40" s="10" t="s">
        <v>59</v>
      </c>
      <c r="B40" s="10" t="s">
        <v>34</v>
      </c>
      <c r="C40" s="10" t="s">
        <v>27</v>
      </c>
      <c r="D40" s="19">
        <v>773.09</v>
      </c>
      <c r="E40" s="11">
        <v>13</v>
      </c>
      <c r="F40" s="12">
        <v>0.15</v>
      </c>
      <c r="G40" s="13">
        <v>45434</v>
      </c>
      <c r="H40" s="22">
        <v>229.99</v>
      </c>
    </row>
    <row r="41" spans="1:8" x14ac:dyDescent="0.3">
      <c r="A41" s="2" t="s">
        <v>61</v>
      </c>
      <c r="B41" s="2" t="s">
        <v>18</v>
      </c>
      <c r="C41" s="2" t="s">
        <v>12</v>
      </c>
      <c r="D41" s="20">
        <v>580.42999999999995</v>
      </c>
      <c r="E41" s="6">
        <v>19</v>
      </c>
      <c r="F41" s="8">
        <v>0.15</v>
      </c>
      <c r="G41" s="7">
        <v>45435</v>
      </c>
      <c r="H41" s="23">
        <v>197.35</v>
      </c>
    </row>
    <row r="42" spans="1:8" x14ac:dyDescent="0.3">
      <c r="A42" s="10" t="s">
        <v>42</v>
      </c>
      <c r="B42" s="10" t="s">
        <v>20</v>
      </c>
      <c r="C42" s="10" t="s">
        <v>12</v>
      </c>
      <c r="D42" s="19">
        <v>1151.21</v>
      </c>
      <c r="E42" s="11">
        <v>15</v>
      </c>
      <c r="F42" s="12">
        <v>0.1</v>
      </c>
      <c r="G42" s="13">
        <v>45445</v>
      </c>
      <c r="H42" s="22">
        <v>414.44</v>
      </c>
    </row>
    <row r="43" spans="1:8" x14ac:dyDescent="0.3">
      <c r="A43" s="2" t="s">
        <v>23</v>
      </c>
      <c r="B43" s="2" t="s">
        <v>34</v>
      </c>
      <c r="C43" s="2" t="s">
        <v>39</v>
      </c>
      <c r="D43" s="20">
        <v>1025.98</v>
      </c>
      <c r="E43" s="6">
        <v>5</v>
      </c>
      <c r="F43" s="8">
        <v>0.2</v>
      </c>
      <c r="G43" s="7">
        <v>45447</v>
      </c>
      <c r="H43" s="23">
        <v>369.35</v>
      </c>
    </row>
    <row r="44" spans="1:8" x14ac:dyDescent="0.3">
      <c r="A44" s="10" t="s">
        <v>56</v>
      </c>
      <c r="B44" s="10" t="s">
        <v>18</v>
      </c>
      <c r="C44" s="10" t="s">
        <v>39</v>
      </c>
      <c r="D44" s="19">
        <v>556.41999999999996</v>
      </c>
      <c r="E44" s="11">
        <v>11</v>
      </c>
      <c r="F44" s="12">
        <v>0.15</v>
      </c>
      <c r="G44" s="13">
        <v>45447</v>
      </c>
      <c r="H44" s="22">
        <v>212.83</v>
      </c>
    </row>
    <row r="45" spans="1:8" x14ac:dyDescent="0.3">
      <c r="A45" s="2" t="s">
        <v>23</v>
      </c>
      <c r="B45" s="2" t="s">
        <v>34</v>
      </c>
      <c r="C45" s="2" t="s">
        <v>12</v>
      </c>
      <c r="D45" s="20">
        <v>840.85</v>
      </c>
      <c r="E45" s="6">
        <v>19</v>
      </c>
      <c r="F45" s="8">
        <v>0.1</v>
      </c>
      <c r="G45" s="7">
        <v>45448</v>
      </c>
      <c r="H45" s="23">
        <v>302.70999999999998</v>
      </c>
    </row>
    <row r="46" spans="1:8" x14ac:dyDescent="0.3">
      <c r="A46" s="10" t="s">
        <v>61</v>
      </c>
      <c r="B46" s="10" t="s">
        <v>24</v>
      </c>
      <c r="C46" s="10" t="s">
        <v>27</v>
      </c>
      <c r="D46" s="19">
        <v>1227.25</v>
      </c>
      <c r="E46" s="11">
        <v>12</v>
      </c>
      <c r="F46" s="12">
        <v>0.15</v>
      </c>
      <c r="G46" s="13">
        <v>45448</v>
      </c>
      <c r="H46" s="22">
        <v>365.11</v>
      </c>
    </row>
    <row r="47" spans="1:8" x14ac:dyDescent="0.3">
      <c r="A47" s="2" t="s">
        <v>62</v>
      </c>
      <c r="B47" s="2" t="s">
        <v>34</v>
      </c>
      <c r="C47" s="2" t="s">
        <v>21</v>
      </c>
      <c r="D47" s="20">
        <v>856.7</v>
      </c>
      <c r="E47" s="6">
        <v>2</v>
      </c>
      <c r="F47" s="8">
        <v>0</v>
      </c>
      <c r="G47" s="7">
        <v>45449</v>
      </c>
      <c r="H47" s="23">
        <v>214.18</v>
      </c>
    </row>
    <row r="48" spans="1:8" x14ac:dyDescent="0.3">
      <c r="A48" s="10" t="s">
        <v>56</v>
      </c>
      <c r="B48" s="10" t="s">
        <v>34</v>
      </c>
      <c r="C48" s="10" t="s">
        <v>39</v>
      </c>
      <c r="D48" s="19">
        <v>1225.42</v>
      </c>
      <c r="E48" s="11">
        <v>8</v>
      </c>
      <c r="F48" s="12">
        <v>0.15</v>
      </c>
      <c r="G48" s="13">
        <v>45449</v>
      </c>
      <c r="H48" s="22">
        <v>468.72</v>
      </c>
    </row>
    <row r="49" spans="1:8" x14ac:dyDescent="0.3">
      <c r="A49" s="2" t="s">
        <v>31</v>
      </c>
      <c r="B49" s="2" t="s">
        <v>24</v>
      </c>
      <c r="C49" s="2" t="s">
        <v>39</v>
      </c>
      <c r="D49" s="20">
        <v>1001.57</v>
      </c>
      <c r="E49" s="6">
        <v>12</v>
      </c>
      <c r="F49" s="8">
        <v>0</v>
      </c>
      <c r="G49" s="7">
        <v>45450</v>
      </c>
      <c r="H49" s="23">
        <v>450.71</v>
      </c>
    </row>
    <row r="50" spans="1:8" x14ac:dyDescent="0.3">
      <c r="A50" s="10" t="s">
        <v>26</v>
      </c>
      <c r="B50" s="10" t="s">
        <v>18</v>
      </c>
      <c r="C50" s="10" t="s">
        <v>27</v>
      </c>
      <c r="D50" s="19">
        <v>1186.8499999999999</v>
      </c>
      <c r="E50" s="11">
        <v>19</v>
      </c>
      <c r="F50" s="12">
        <v>0.2</v>
      </c>
      <c r="G50" s="13">
        <v>45451</v>
      </c>
      <c r="H50" s="22">
        <v>332.32</v>
      </c>
    </row>
    <row r="51" spans="1:8" x14ac:dyDescent="0.3">
      <c r="A51" s="2" t="s">
        <v>51</v>
      </c>
      <c r="B51" s="2" t="s">
        <v>20</v>
      </c>
      <c r="C51" s="2" t="s">
        <v>21</v>
      </c>
      <c r="D51" s="20">
        <v>775.45</v>
      </c>
      <c r="E51" s="6">
        <v>6</v>
      </c>
      <c r="F51" s="8">
        <v>0.1</v>
      </c>
      <c r="G51" s="7">
        <v>45457</v>
      </c>
      <c r="H51" s="23">
        <v>174.48</v>
      </c>
    </row>
    <row r="52" spans="1:8" x14ac:dyDescent="0.3">
      <c r="A52" s="10" t="s">
        <v>33</v>
      </c>
      <c r="B52" s="10" t="s">
        <v>20</v>
      </c>
      <c r="C52" s="10" t="s">
        <v>21</v>
      </c>
      <c r="D52" s="19">
        <v>1021.47</v>
      </c>
      <c r="E52" s="11">
        <v>6</v>
      </c>
      <c r="F52" s="12">
        <v>0.05</v>
      </c>
      <c r="G52" s="13">
        <v>45461</v>
      </c>
      <c r="H52" s="22">
        <v>242.6</v>
      </c>
    </row>
    <row r="53" spans="1:8" x14ac:dyDescent="0.3">
      <c r="A53" s="2" t="s">
        <v>23</v>
      </c>
      <c r="B53" s="2" t="s">
        <v>20</v>
      </c>
      <c r="C53" s="2" t="s">
        <v>15</v>
      </c>
      <c r="D53" s="20">
        <v>1226.6199999999999</v>
      </c>
      <c r="E53" s="6">
        <v>7</v>
      </c>
      <c r="F53" s="8">
        <v>0.1</v>
      </c>
      <c r="G53" s="7">
        <v>45463</v>
      </c>
      <c r="H53" s="23">
        <v>551.98</v>
      </c>
    </row>
    <row r="54" spans="1:8" x14ac:dyDescent="0.3">
      <c r="A54" s="10" t="s">
        <v>64</v>
      </c>
      <c r="B54" s="10" t="s">
        <v>20</v>
      </c>
      <c r="C54" s="10" t="s">
        <v>27</v>
      </c>
      <c r="D54" s="19">
        <v>1086.93</v>
      </c>
      <c r="E54" s="11">
        <v>2</v>
      </c>
      <c r="F54" s="12">
        <v>0</v>
      </c>
      <c r="G54" s="13">
        <v>45464</v>
      </c>
      <c r="H54" s="22">
        <v>380.43</v>
      </c>
    </row>
    <row r="55" spans="1:8" x14ac:dyDescent="0.3">
      <c r="A55" s="2" t="s">
        <v>48</v>
      </c>
      <c r="B55" s="2" t="s">
        <v>11</v>
      </c>
      <c r="C55" s="2" t="s">
        <v>12</v>
      </c>
      <c r="D55" s="20">
        <v>942.9</v>
      </c>
      <c r="E55" s="6">
        <v>18</v>
      </c>
      <c r="F55" s="8">
        <v>0.1</v>
      </c>
      <c r="G55" s="7">
        <v>45466</v>
      </c>
      <c r="H55" s="23">
        <v>339.44</v>
      </c>
    </row>
    <row r="56" spans="1:8" x14ac:dyDescent="0.3">
      <c r="A56" s="10" t="s">
        <v>38</v>
      </c>
      <c r="B56" s="10" t="s">
        <v>24</v>
      </c>
      <c r="C56" s="10" t="s">
        <v>21</v>
      </c>
      <c r="D56" s="19">
        <v>818.8</v>
      </c>
      <c r="E56" s="11">
        <v>15</v>
      </c>
      <c r="F56" s="12">
        <v>0.15</v>
      </c>
      <c r="G56" s="13">
        <v>45468</v>
      </c>
      <c r="H56" s="22">
        <v>173.99</v>
      </c>
    </row>
    <row r="57" spans="1:8" x14ac:dyDescent="0.3">
      <c r="A57" s="2" t="s">
        <v>14</v>
      </c>
      <c r="B57" s="2" t="s">
        <v>20</v>
      </c>
      <c r="C57" s="2" t="s">
        <v>27</v>
      </c>
      <c r="D57" s="20">
        <v>919.04</v>
      </c>
      <c r="E57" s="6">
        <v>10</v>
      </c>
      <c r="F57" s="8">
        <v>0.2</v>
      </c>
      <c r="G57" s="7">
        <v>45468</v>
      </c>
      <c r="H57" s="23">
        <v>257.33</v>
      </c>
    </row>
    <row r="58" spans="1:8" x14ac:dyDescent="0.3">
      <c r="A58" s="10" t="s">
        <v>66</v>
      </c>
      <c r="B58" s="10" t="s">
        <v>34</v>
      </c>
      <c r="C58" s="10" t="s">
        <v>12</v>
      </c>
      <c r="D58" s="19">
        <v>973.26</v>
      </c>
      <c r="E58" s="11">
        <v>11</v>
      </c>
      <c r="F58" s="12">
        <v>0</v>
      </c>
      <c r="G58" s="13">
        <v>45470</v>
      </c>
      <c r="H58" s="22">
        <v>389.3</v>
      </c>
    </row>
    <row r="59" spans="1:8" x14ac:dyDescent="0.3">
      <c r="A59" s="2" t="s">
        <v>64</v>
      </c>
      <c r="B59" s="2" t="s">
        <v>24</v>
      </c>
      <c r="C59" s="2" t="s">
        <v>21</v>
      </c>
      <c r="D59" s="20">
        <v>741.61</v>
      </c>
      <c r="E59" s="6">
        <v>1</v>
      </c>
      <c r="F59" s="8">
        <v>0.2</v>
      </c>
      <c r="G59" s="7">
        <v>45471</v>
      </c>
      <c r="H59" s="23">
        <v>148.32</v>
      </c>
    </row>
    <row r="60" spans="1:8" x14ac:dyDescent="0.3">
      <c r="A60" s="10" t="s">
        <v>38</v>
      </c>
      <c r="B60" s="10" t="s">
        <v>24</v>
      </c>
      <c r="C60" s="10" t="s">
        <v>12</v>
      </c>
      <c r="D60" s="19">
        <v>1248.82</v>
      </c>
      <c r="E60" s="11">
        <v>2</v>
      </c>
      <c r="F60" s="12">
        <v>0.1</v>
      </c>
      <c r="G60" s="13">
        <v>45473</v>
      </c>
      <c r="H60" s="22">
        <v>449.58</v>
      </c>
    </row>
    <row r="61" spans="1:8" x14ac:dyDescent="0.3">
      <c r="A61" s="2" t="s">
        <v>59</v>
      </c>
      <c r="B61" s="2" t="s">
        <v>11</v>
      </c>
      <c r="C61" s="2" t="s">
        <v>15</v>
      </c>
      <c r="D61" s="20">
        <v>1360.36</v>
      </c>
      <c r="E61" s="6">
        <v>17</v>
      </c>
      <c r="F61" s="8">
        <v>0</v>
      </c>
      <c r="G61" s="7">
        <v>45473</v>
      </c>
      <c r="H61" s="23">
        <v>680.18</v>
      </c>
    </row>
    <row r="62" spans="1:8" x14ac:dyDescent="0.3">
      <c r="A62" s="10" t="s">
        <v>31</v>
      </c>
      <c r="B62" s="10" t="s">
        <v>18</v>
      </c>
      <c r="C62" s="10" t="s">
        <v>12</v>
      </c>
      <c r="D62" s="19">
        <v>1383.3</v>
      </c>
      <c r="E62" s="11">
        <v>8</v>
      </c>
      <c r="F62" s="12">
        <v>0.1</v>
      </c>
      <c r="G62" s="13">
        <v>45478</v>
      </c>
      <c r="H62" s="22">
        <v>497.99</v>
      </c>
    </row>
    <row r="63" spans="1:8" x14ac:dyDescent="0.3">
      <c r="A63" s="2" t="s">
        <v>55</v>
      </c>
      <c r="B63" s="2" t="s">
        <v>34</v>
      </c>
      <c r="C63" s="2" t="s">
        <v>39</v>
      </c>
      <c r="D63" s="20">
        <v>488.99</v>
      </c>
      <c r="E63" s="6">
        <v>9</v>
      </c>
      <c r="F63" s="8">
        <v>0</v>
      </c>
      <c r="G63" s="7">
        <v>45479</v>
      </c>
      <c r="H63" s="23">
        <v>220.05</v>
      </c>
    </row>
    <row r="64" spans="1:8" x14ac:dyDescent="0.3">
      <c r="A64" s="10" t="s">
        <v>31</v>
      </c>
      <c r="B64" s="10" t="s">
        <v>18</v>
      </c>
      <c r="C64" s="10" t="s">
        <v>27</v>
      </c>
      <c r="D64" s="19">
        <v>933.71</v>
      </c>
      <c r="E64" s="11">
        <v>17</v>
      </c>
      <c r="F64" s="12">
        <v>0.1</v>
      </c>
      <c r="G64" s="13">
        <v>45481</v>
      </c>
      <c r="H64" s="22">
        <v>294.12</v>
      </c>
    </row>
    <row r="65" spans="1:8" x14ac:dyDescent="0.3">
      <c r="A65" s="2" t="s">
        <v>10</v>
      </c>
      <c r="B65" s="2" t="s">
        <v>11</v>
      </c>
      <c r="C65" s="2" t="s">
        <v>21</v>
      </c>
      <c r="D65" s="20">
        <v>1005.53</v>
      </c>
      <c r="E65" s="6">
        <v>17</v>
      </c>
      <c r="F65" s="8">
        <v>0.2</v>
      </c>
      <c r="G65" s="7">
        <v>45481</v>
      </c>
      <c r="H65" s="23">
        <v>201.11</v>
      </c>
    </row>
    <row r="66" spans="1:8" x14ac:dyDescent="0.3">
      <c r="A66" s="10" t="s">
        <v>61</v>
      </c>
      <c r="B66" s="10" t="s">
        <v>20</v>
      </c>
      <c r="C66" s="10" t="s">
        <v>21</v>
      </c>
      <c r="D66" s="19">
        <v>1100.0999999999999</v>
      </c>
      <c r="E66" s="11">
        <v>5</v>
      </c>
      <c r="F66" s="12">
        <v>0.05</v>
      </c>
      <c r="G66" s="13">
        <v>45482</v>
      </c>
      <c r="H66" s="22">
        <v>261.27</v>
      </c>
    </row>
    <row r="67" spans="1:8" x14ac:dyDescent="0.3">
      <c r="A67" s="2" t="s">
        <v>23</v>
      </c>
      <c r="B67" s="2" t="s">
        <v>24</v>
      </c>
      <c r="C67" s="2" t="s">
        <v>27</v>
      </c>
      <c r="D67" s="20">
        <v>1034.7</v>
      </c>
      <c r="E67" s="6">
        <v>15</v>
      </c>
      <c r="F67" s="8">
        <v>0.15</v>
      </c>
      <c r="G67" s="7">
        <v>45487</v>
      </c>
      <c r="H67" s="23">
        <v>307.82</v>
      </c>
    </row>
    <row r="68" spans="1:8" x14ac:dyDescent="0.3">
      <c r="A68" s="10" t="s">
        <v>31</v>
      </c>
      <c r="B68" s="10" t="s">
        <v>20</v>
      </c>
      <c r="C68" s="10" t="s">
        <v>12</v>
      </c>
      <c r="D68" s="19">
        <v>876.44</v>
      </c>
      <c r="E68" s="11">
        <v>12</v>
      </c>
      <c r="F68" s="12">
        <v>0.05</v>
      </c>
      <c r="G68" s="13">
        <v>45488</v>
      </c>
      <c r="H68" s="22">
        <v>333.05</v>
      </c>
    </row>
    <row r="69" spans="1:8" x14ac:dyDescent="0.3">
      <c r="A69" s="2" t="s">
        <v>55</v>
      </c>
      <c r="B69" s="2" t="s">
        <v>11</v>
      </c>
      <c r="C69" s="2" t="s">
        <v>27</v>
      </c>
      <c r="D69" s="20">
        <v>1371.34</v>
      </c>
      <c r="E69" s="6">
        <v>5</v>
      </c>
      <c r="F69" s="8">
        <v>0.05</v>
      </c>
      <c r="G69" s="7">
        <v>45488</v>
      </c>
      <c r="H69" s="23">
        <v>455.97</v>
      </c>
    </row>
    <row r="70" spans="1:8" x14ac:dyDescent="0.3">
      <c r="A70" s="10" t="s">
        <v>47</v>
      </c>
      <c r="B70" s="10" t="s">
        <v>24</v>
      </c>
      <c r="C70" s="10" t="s">
        <v>21</v>
      </c>
      <c r="D70" s="19">
        <v>1020.26</v>
      </c>
      <c r="E70" s="11">
        <v>11</v>
      </c>
      <c r="F70" s="12">
        <v>0.05</v>
      </c>
      <c r="G70" s="13">
        <v>45494</v>
      </c>
      <c r="H70" s="22">
        <v>242.31</v>
      </c>
    </row>
    <row r="71" spans="1:8" x14ac:dyDescent="0.3">
      <c r="A71" s="2" t="s">
        <v>10</v>
      </c>
      <c r="B71" s="2" t="s">
        <v>34</v>
      </c>
      <c r="C71" s="2" t="s">
        <v>39</v>
      </c>
      <c r="D71" s="20">
        <v>804.81</v>
      </c>
      <c r="E71" s="6">
        <v>1</v>
      </c>
      <c r="F71" s="8">
        <v>0.05</v>
      </c>
      <c r="G71" s="7">
        <v>45502</v>
      </c>
      <c r="H71" s="23">
        <v>344.06</v>
      </c>
    </row>
    <row r="72" spans="1:8" x14ac:dyDescent="0.3">
      <c r="A72" s="10" t="s">
        <v>55</v>
      </c>
      <c r="B72" s="10" t="s">
        <v>34</v>
      </c>
      <c r="C72" s="10" t="s">
        <v>21</v>
      </c>
      <c r="D72" s="19">
        <v>608.66</v>
      </c>
      <c r="E72" s="11">
        <v>1</v>
      </c>
      <c r="F72" s="12">
        <v>0.05</v>
      </c>
      <c r="G72" s="13">
        <v>45503</v>
      </c>
      <c r="H72" s="22">
        <v>144.56</v>
      </c>
    </row>
    <row r="73" spans="1:8" x14ac:dyDescent="0.3">
      <c r="A73" s="2" t="s">
        <v>69</v>
      </c>
      <c r="B73" s="2" t="s">
        <v>20</v>
      </c>
      <c r="C73" s="2" t="s">
        <v>39</v>
      </c>
      <c r="D73" s="20">
        <v>981.2</v>
      </c>
      <c r="E73" s="6">
        <v>19</v>
      </c>
      <c r="F73" s="8">
        <v>0</v>
      </c>
      <c r="G73" s="7">
        <v>45504</v>
      </c>
      <c r="H73" s="23">
        <v>441.54</v>
      </c>
    </row>
    <row r="74" spans="1:8" x14ac:dyDescent="0.3">
      <c r="A74" s="10" t="s">
        <v>55</v>
      </c>
      <c r="B74" s="10" t="s">
        <v>18</v>
      </c>
      <c r="C74" s="10" t="s">
        <v>21</v>
      </c>
      <c r="D74" s="19">
        <v>539.77</v>
      </c>
      <c r="E74" s="11">
        <v>10</v>
      </c>
      <c r="F74" s="12">
        <v>0.15</v>
      </c>
      <c r="G74" s="13">
        <v>45509</v>
      </c>
      <c r="H74" s="22">
        <v>114.7</v>
      </c>
    </row>
    <row r="75" spans="1:8" x14ac:dyDescent="0.3">
      <c r="A75" s="2" t="s">
        <v>71</v>
      </c>
      <c r="B75" s="2" t="s">
        <v>20</v>
      </c>
      <c r="C75" s="2" t="s">
        <v>12</v>
      </c>
      <c r="D75" s="20">
        <v>804.45</v>
      </c>
      <c r="E75" s="6">
        <v>5</v>
      </c>
      <c r="F75" s="8">
        <v>0.2</v>
      </c>
      <c r="G75" s="7">
        <v>45509</v>
      </c>
      <c r="H75" s="23">
        <v>257.42</v>
      </c>
    </row>
    <row r="76" spans="1:8" x14ac:dyDescent="0.3">
      <c r="A76" s="10" t="s">
        <v>38</v>
      </c>
      <c r="B76" s="10" t="s">
        <v>11</v>
      </c>
      <c r="C76" s="10" t="s">
        <v>21</v>
      </c>
      <c r="D76" s="19">
        <v>1526.6</v>
      </c>
      <c r="E76" s="11">
        <v>13</v>
      </c>
      <c r="F76" s="12">
        <v>0.2</v>
      </c>
      <c r="G76" s="13">
        <v>45512</v>
      </c>
      <c r="H76" s="22">
        <v>305.32</v>
      </c>
    </row>
    <row r="77" spans="1:8" x14ac:dyDescent="0.3">
      <c r="A77" s="2" t="s">
        <v>29</v>
      </c>
      <c r="B77" s="2" t="s">
        <v>11</v>
      </c>
      <c r="C77" s="2" t="s">
        <v>21</v>
      </c>
      <c r="D77" s="20">
        <v>1215.26</v>
      </c>
      <c r="E77" s="6">
        <v>5</v>
      </c>
      <c r="F77" s="8">
        <v>0.15</v>
      </c>
      <c r="G77" s="7">
        <v>45513</v>
      </c>
      <c r="H77" s="23">
        <v>258.24</v>
      </c>
    </row>
    <row r="78" spans="1:8" x14ac:dyDescent="0.3">
      <c r="A78" s="10" t="s">
        <v>53</v>
      </c>
      <c r="B78" s="10" t="s">
        <v>34</v>
      </c>
      <c r="C78" s="10" t="s">
        <v>27</v>
      </c>
      <c r="D78" s="19">
        <v>1261.3399999999999</v>
      </c>
      <c r="E78" s="11">
        <v>3</v>
      </c>
      <c r="F78" s="12">
        <v>0</v>
      </c>
      <c r="G78" s="13">
        <v>45519</v>
      </c>
      <c r="H78" s="22">
        <v>441.47</v>
      </c>
    </row>
    <row r="79" spans="1:8" x14ac:dyDescent="0.3">
      <c r="A79" s="2" t="s">
        <v>45</v>
      </c>
      <c r="B79" s="2" t="s">
        <v>24</v>
      </c>
      <c r="C79" s="2" t="s">
        <v>27</v>
      </c>
      <c r="D79" s="20">
        <v>518.07000000000005</v>
      </c>
      <c r="E79" s="6">
        <v>7</v>
      </c>
      <c r="F79" s="8">
        <v>0.05</v>
      </c>
      <c r="G79" s="7">
        <v>45522</v>
      </c>
      <c r="H79" s="23">
        <v>172.26</v>
      </c>
    </row>
    <row r="80" spans="1:8" x14ac:dyDescent="0.3">
      <c r="A80" s="10" t="s">
        <v>29</v>
      </c>
      <c r="B80" s="10" t="s">
        <v>11</v>
      </c>
      <c r="C80" s="10" t="s">
        <v>39</v>
      </c>
      <c r="D80" s="19">
        <v>1111.3399999999999</v>
      </c>
      <c r="E80" s="11">
        <v>1</v>
      </c>
      <c r="F80" s="12">
        <v>0</v>
      </c>
      <c r="G80" s="13">
        <v>45523</v>
      </c>
      <c r="H80" s="22">
        <v>500.1</v>
      </c>
    </row>
    <row r="81" spans="1:8" x14ac:dyDescent="0.3">
      <c r="A81" s="2" t="s">
        <v>31</v>
      </c>
      <c r="B81" s="2" t="s">
        <v>18</v>
      </c>
      <c r="C81" s="2" t="s">
        <v>15</v>
      </c>
      <c r="D81" s="20">
        <v>1291.47</v>
      </c>
      <c r="E81" s="6">
        <v>18</v>
      </c>
      <c r="F81" s="8">
        <v>0.1</v>
      </c>
      <c r="G81" s="7">
        <v>45526</v>
      </c>
      <c r="H81" s="23">
        <v>581.16</v>
      </c>
    </row>
    <row r="82" spans="1:8" x14ac:dyDescent="0.3">
      <c r="A82" s="10" t="s">
        <v>55</v>
      </c>
      <c r="B82" s="10" t="s">
        <v>24</v>
      </c>
      <c r="C82" s="10" t="s">
        <v>12</v>
      </c>
      <c r="D82" s="19">
        <v>679.71</v>
      </c>
      <c r="E82" s="11">
        <v>19</v>
      </c>
      <c r="F82" s="12">
        <v>0</v>
      </c>
      <c r="G82" s="13">
        <v>45534</v>
      </c>
      <c r="H82" s="22">
        <v>271.88</v>
      </c>
    </row>
    <row r="83" spans="1:8" x14ac:dyDescent="0.3">
      <c r="A83" s="2" t="s">
        <v>33</v>
      </c>
      <c r="B83" s="2" t="s">
        <v>18</v>
      </c>
      <c r="C83" s="2" t="s">
        <v>27</v>
      </c>
      <c r="D83" s="20">
        <v>1143.69</v>
      </c>
      <c r="E83" s="6">
        <v>17</v>
      </c>
      <c r="F83" s="8">
        <v>0</v>
      </c>
      <c r="G83" s="7">
        <v>45534</v>
      </c>
      <c r="H83" s="23">
        <v>400.29</v>
      </c>
    </row>
    <row r="84" spans="1:8" x14ac:dyDescent="0.3">
      <c r="A84" s="10" t="s">
        <v>50</v>
      </c>
      <c r="B84" s="10" t="s">
        <v>34</v>
      </c>
      <c r="C84" s="10" t="s">
        <v>21</v>
      </c>
      <c r="D84" s="19">
        <v>790.08</v>
      </c>
      <c r="E84" s="11">
        <v>7</v>
      </c>
      <c r="F84" s="12">
        <v>0.1</v>
      </c>
      <c r="G84" s="13">
        <v>45536</v>
      </c>
      <c r="H84" s="22">
        <v>177.77</v>
      </c>
    </row>
    <row r="85" spans="1:8" x14ac:dyDescent="0.3">
      <c r="A85" s="2" t="s">
        <v>48</v>
      </c>
      <c r="B85" s="2" t="s">
        <v>34</v>
      </c>
      <c r="C85" s="2" t="s">
        <v>12</v>
      </c>
      <c r="D85" s="20">
        <v>1070.68</v>
      </c>
      <c r="E85" s="6">
        <v>7</v>
      </c>
      <c r="F85" s="8">
        <v>0.05</v>
      </c>
      <c r="G85" s="7">
        <v>45536</v>
      </c>
      <c r="H85" s="23">
        <v>406.86</v>
      </c>
    </row>
    <row r="86" spans="1:8" x14ac:dyDescent="0.3">
      <c r="A86" s="10" t="s">
        <v>36</v>
      </c>
      <c r="B86" s="10" t="s">
        <v>11</v>
      </c>
      <c r="C86" s="10" t="s">
        <v>15</v>
      </c>
      <c r="D86" s="19">
        <v>1168.8900000000001</v>
      </c>
      <c r="E86" s="11">
        <v>4</v>
      </c>
      <c r="F86" s="12">
        <v>0.1</v>
      </c>
      <c r="G86" s="13">
        <v>45544</v>
      </c>
      <c r="H86" s="22">
        <v>526</v>
      </c>
    </row>
    <row r="87" spans="1:8" x14ac:dyDescent="0.3">
      <c r="A87" s="2" t="s">
        <v>10</v>
      </c>
      <c r="B87" s="2" t="s">
        <v>20</v>
      </c>
      <c r="C87" s="2" t="s">
        <v>21</v>
      </c>
      <c r="D87" s="20">
        <v>1335.87</v>
      </c>
      <c r="E87" s="6">
        <v>17</v>
      </c>
      <c r="F87" s="8">
        <v>0</v>
      </c>
      <c r="G87" s="7">
        <v>45544</v>
      </c>
      <c r="H87" s="23">
        <v>333.97</v>
      </c>
    </row>
    <row r="88" spans="1:8" x14ac:dyDescent="0.3">
      <c r="A88" s="10" t="s">
        <v>55</v>
      </c>
      <c r="B88" s="10" t="s">
        <v>18</v>
      </c>
      <c r="C88" s="10" t="s">
        <v>27</v>
      </c>
      <c r="D88" s="19">
        <v>873.7</v>
      </c>
      <c r="E88" s="11">
        <v>9</v>
      </c>
      <c r="F88" s="12">
        <v>0</v>
      </c>
      <c r="G88" s="13">
        <v>45546</v>
      </c>
      <c r="H88" s="22">
        <v>305.8</v>
      </c>
    </row>
    <row r="89" spans="1:8" x14ac:dyDescent="0.3">
      <c r="A89" s="2" t="s">
        <v>64</v>
      </c>
      <c r="B89" s="2" t="s">
        <v>11</v>
      </c>
      <c r="C89" s="2" t="s">
        <v>39</v>
      </c>
      <c r="D89" s="20">
        <v>1443.98</v>
      </c>
      <c r="E89" s="6">
        <v>19</v>
      </c>
      <c r="F89" s="8">
        <v>0</v>
      </c>
      <c r="G89" s="7">
        <v>45547</v>
      </c>
      <c r="H89" s="23">
        <v>649.79</v>
      </c>
    </row>
    <row r="90" spans="1:8" x14ac:dyDescent="0.3">
      <c r="A90" s="10" t="s">
        <v>23</v>
      </c>
      <c r="B90" s="10" t="s">
        <v>18</v>
      </c>
      <c r="C90" s="10" t="s">
        <v>39</v>
      </c>
      <c r="D90" s="19">
        <v>1154.33</v>
      </c>
      <c r="E90" s="11">
        <v>11</v>
      </c>
      <c r="F90" s="12">
        <v>0.15</v>
      </c>
      <c r="G90" s="13">
        <v>45549</v>
      </c>
      <c r="H90" s="22">
        <v>441.53</v>
      </c>
    </row>
    <row r="91" spans="1:8" x14ac:dyDescent="0.3">
      <c r="A91" s="2" t="s">
        <v>50</v>
      </c>
      <c r="B91" s="2" t="s">
        <v>20</v>
      </c>
      <c r="C91" s="2" t="s">
        <v>12</v>
      </c>
      <c r="D91" s="20">
        <v>1264.49</v>
      </c>
      <c r="E91" s="6">
        <v>16</v>
      </c>
      <c r="F91" s="8">
        <v>0.05</v>
      </c>
      <c r="G91" s="7">
        <v>45549</v>
      </c>
      <c r="H91" s="23">
        <v>480.51</v>
      </c>
    </row>
    <row r="92" spans="1:8" x14ac:dyDescent="0.3">
      <c r="A92" s="10" t="s">
        <v>66</v>
      </c>
      <c r="B92" s="10" t="s">
        <v>11</v>
      </c>
      <c r="C92" s="10" t="s">
        <v>27</v>
      </c>
      <c r="D92" s="19">
        <v>1101.55</v>
      </c>
      <c r="E92" s="11">
        <v>4</v>
      </c>
      <c r="F92" s="12">
        <v>0.1</v>
      </c>
      <c r="G92" s="13">
        <v>45551</v>
      </c>
      <c r="H92" s="22">
        <v>346.99</v>
      </c>
    </row>
    <row r="93" spans="1:8" x14ac:dyDescent="0.3">
      <c r="A93" s="2" t="s">
        <v>14</v>
      </c>
      <c r="B93" s="2" t="s">
        <v>20</v>
      </c>
      <c r="C93" s="2" t="s">
        <v>27</v>
      </c>
      <c r="D93" s="20">
        <v>727.73</v>
      </c>
      <c r="E93" s="6">
        <v>1</v>
      </c>
      <c r="F93" s="8">
        <v>0.1</v>
      </c>
      <c r="G93" s="7">
        <v>45552</v>
      </c>
      <c r="H93" s="23">
        <v>229.23</v>
      </c>
    </row>
    <row r="94" spans="1:8" x14ac:dyDescent="0.3">
      <c r="A94" s="10" t="s">
        <v>38</v>
      </c>
      <c r="B94" s="10" t="s">
        <v>18</v>
      </c>
      <c r="C94" s="10" t="s">
        <v>39</v>
      </c>
      <c r="D94" s="19">
        <v>875.41</v>
      </c>
      <c r="E94" s="11">
        <v>13</v>
      </c>
      <c r="F94" s="12">
        <v>0.15</v>
      </c>
      <c r="G94" s="13">
        <v>45552</v>
      </c>
      <c r="H94" s="22">
        <v>334.84</v>
      </c>
    </row>
    <row r="95" spans="1:8" x14ac:dyDescent="0.3">
      <c r="A95" s="2" t="s">
        <v>23</v>
      </c>
      <c r="B95" s="2" t="s">
        <v>11</v>
      </c>
      <c r="C95" s="2" t="s">
        <v>21</v>
      </c>
      <c r="D95" s="20">
        <v>1158.94</v>
      </c>
      <c r="E95" s="6">
        <v>19</v>
      </c>
      <c r="F95" s="8">
        <v>0.2</v>
      </c>
      <c r="G95" s="7">
        <v>45553</v>
      </c>
      <c r="H95" s="23">
        <v>231.79</v>
      </c>
    </row>
    <row r="96" spans="1:8" x14ac:dyDescent="0.3">
      <c r="A96" s="10" t="s">
        <v>47</v>
      </c>
      <c r="B96" s="10" t="s">
        <v>20</v>
      </c>
      <c r="C96" s="10" t="s">
        <v>12</v>
      </c>
      <c r="D96" s="19">
        <v>966.3</v>
      </c>
      <c r="E96" s="11">
        <v>2</v>
      </c>
      <c r="F96" s="12">
        <v>0.15</v>
      </c>
      <c r="G96" s="13">
        <v>45557</v>
      </c>
      <c r="H96" s="22">
        <v>328.54</v>
      </c>
    </row>
    <row r="97" spans="1:8" x14ac:dyDescent="0.3">
      <c r="A97" s="2" t="s">
        <v>17</v>
      </c>
      <c r="B97" s="2" t="s">
        <v>20</v>
      </c>
      <c r="C97" s="2" t="s">
        <v>12</v>
      </c>
      <c r="D97" s="20">
        <v>917.48</v>
      </c>
      <c r="E97" s="6">
        <v>6</v>
      </c>
      <c r="F97" s="8">
        <v>0</v>
      </c>
      <c r="G97" s="7">
        <v>45558</v>
      </c>
      <c r="H97" s="23">
        <v>366.99</v>
      </c>
    </row>
    <row r="98" spans="1:8" x14ac:dyDescent="0.3">
      <c r="A98" s="10" t="s">
        <v>61</v>
      </c>
      <c r="B98" s="10" t="s">
        <v>11</v>
      </c>
      <c r="C98" s="10" t="s">
        <v>27</v>
      </c>
      <c r="D98" s="19">
        <v>1172.97</v>
      </c>
      <c r="E98" s="11">
        <v>7</v>
      </c>
      <c r="F98" s="12">
        <v>0.15</v>
      </c>
      <c r="G98" s="13">
        <v>45559</v>
      </c>
      <c r="H98" s="22">
        <v>348.96</v>
      </c>
    </row>
    <row r="99" spans="1:8" x14ac:dyDescent="0.3">
      <c r="A99" s="2" t="s">
        <v>23</v>
      </c>
      <c r="B99" s="2" t="s">
        <v>24</v>
      </c>
      <c r="C99" s="2" t="s">
        <v>15</v>
      </c>
      <c r="D99" s="20">
        <v>1205.82</v>
      </c>
      <c r="E99" s="6">
        <v>11</v>
      </c>
      <c r="F99" s="8">
        <v>0.1</v>
      </c>
      <c r="G99" s="7">
        <v>45559</v>
      </c>
      <c r="H99" s="23">
        <v>542.62</v>
      </c>
    </row>
    <row r="100" spans="1:8" x14ac:dyDescent="0.3">
      <c r="A100" s="10" t="s">
        <v>64</v>
      </c>
      <c r="B100" s="10" t="s">
        <v>11</v>
      </c>
      <c r="C100" s="10" t="s">
        <v>39</v>
      </c>
      <c r="D100" s="19">
        <v>826.93</v>
      </c>
      <c r="E100" s="11">
        <v>10</v>
      </c>
      <c r="F100" s="12">
        <v>0.2</v>
      </c>
      <c r="G100" s="13">
        <v>45564</v>
      </c>
      <c r="H100" s="22">
        <v>297.69</v>
      </c>
    </row>
    <row r="101" spans="1:8" x14ac:dyDescent="0.3">
      <c r="A101" s="2" t="s">
        <v>23</v>
      </c>
      <c r="B101" s="2" t="s">
        <v>34</v>
      </c>
      <c r="C101" s="2" t="s">
        <v>15</v>
      </c>
      <c r="D101" s="20">
        <v>902.19</v>
      </c>
      <c r="E101" s="6">
        <v>12</v>
      </c>
      <c r="F101" s="8">
        <v>0</v>
      </c>
      <c r="G101" s="7">
        <v>45564</v>
      </c>
      <c r="H101" s="23">
        <v>451.1</v>
      </c>
    </row>
    <row r="102" spans="1:8" x14ac:dyDescent="0.3">
      <c r="A102" s="10" t="s">
        <v>38</v>
      </c>
      <c r="B102" s="10" t="s">
        <v>24</v>
      </c>
      <c r="C102" s="10" t="s">
        <v>12</v>
      </c>
      <c r="D102" s="19">
        <v>585.97</v>
      </c>
      <c r="E102" s="11">
        <v>17</v>
      </c>
      <c r="F102" s="12">
        <v>0.1</v>
      </c>
      <c r="G102" s="13">
        <v>45565</v>
      </c>
      <c r="H102" s="22">
        <v>210.95</v>
      </c>
    </row>
    <row r="103" spans="1:8" x14ac:dyDescent="0.3">
      <c r="A103" s="2" t="s">
        <v>26</v>
      </c>
      <c r="B103" s="2" t="s">
        <v>24</v>
      </c>
      <c r="C103" s="2" t="s">
        <v>15</v>
      </c>
      <c r="D103" s="20">
        <v>990.19</v>
      </c>
      <c r="E103" s="6">
        <v>8</v>
      </c>
      <c r="F103" s="8">
        <v>0.1</v>
      </c>
      <c r="G103" s="7">
        <v>45565</v>
      </c>
      <c r="H103" s="23">
        <v>445.59</v>
      </c>
    </row>
    <row r="104" spans="1:8" x14ac:dyDescent="0.3">
      <c r="A104" s="10" t="s">
        <v>56</v>
      </c>
      <c r="B104" s="10" t="s">
        <v>34</v>
      </c>
      <c r="C104" s="10" t="s">
        <v>21</v>
      </c>
      <c r="D104" s="19">
        <v>1014.09</v>
      </c>
      <c r="E104" s="11">
        <v>13</v>
      </c>
      <c r="F104" s="12">
        <v>0.2</v>
      </c>
      <c r="G104" s="13">
        <v>45567</v>
      </c>
      <c r="H104" s="22">
        <v>202.82</v>
      </c>
    </row>
    <row r="105" spans="1:8" x14ac:dyDescent="0.3">
      <c r="A105" s="2" t="s">
        <v>48</v>
      </c>
      <c r="B105" s="2" t="s">
        <v>24</v>
      </c>
      <c r="C105" s="2" t="s">
        <v>21</v>
      </c>
      <c r="D105" s="20">
        <v>925.29</v>
      </c>
      <c r="E105" s="6">
        <v>17</v>
      </c>
      <c r="F105" s="8">
        <v>0</v>
      </c>
      <c r="G105" s="7">
        <v>45570</v>
      </c>
      <c r="H105" s="23">
        <v>231.32</v>
      </c>
    </row>
    <row r="106" spans="1:8" x14ac:dyDescent="0.3">
      <c r="A106" s="10" t="s">
        <v>47</v>
      </c>
      <c r="B106" s="10" t="s">
        <v>18</v>
      </c>
      <c r="C106" s="10" t="s">
        <v>27</v>
      </c>
      <c r="D106" s="19">
        <v>1286.54</v>
      </c>
      <c r="E106" s="11">
        <v>8</v>
      </c>
      <c r="F106" s="12">
        <v>0</v>
      </c>
      <c r="G106" s="13">
        <v>45575</v>
      </c>
      <c r="H106" s="22">
        <v>450.29</v>
      </c>
    </row>
    <row r="107" spans="1:8" x14ac:dyDescent="0.3">
      <c r="A107" s="2" t="s">
        <v>64</v>
      </c>
      <c r="B107" s="2" t="s">
        <v>20</v>
      </c>
      <c r="C107" s="2" t="s">
        <v>12</v>
      </c>
      <c r="D107" s="20">
        <v>961.62</v>
      </c>
      <c r="E107" s="6">
        <v>8</v>
      </c>
      <c r="F107" s="8">
        <v>0.2</v>
      </c>
      <c r="G107" s="7">
        <v>45577</v>
      </c>
      <c r="H107" s="23">
        <v>307.72000000000003</v>
      </c>
    </row>
    <row r="108" spans="1:8" x14ac:dyDescent="0.3">
      <c r="A108" s="10" t="s">
        <v>23</v>
      </c>
      <c r="B108" s="10" t="s">
        <v>18</v>
      </c>
      <c r="C108" s="10" t="s">
        <v>12</v>
      </c>
      <c r="D108" s="19">
        <v>1081.1400000000001</v>
      </c>
      <c r="E108" s="11">
        <v>19</v>
      </c>
      <c r="F108" s="12">
        <v>0.15</v>
      </c>
      <c r="G108" s="13">
        <v>45577</v>
      </c>
      <c r="H108" s="22">
        <v>367.59</v>
      </c>
    </row>
    <row r="109" spans="1:8" x14ac:dyDescent="0.3">
      <c r="A109" s="2" t="s">
        <v>23</v>
      </c>
      <c r="B109" s="2" t="s">
        <v>11</v>
      </c>
      <c r="C109" s="2" t="s">
        <v>15</v>
      </c>
      <c r="D109" s="20">
        <v>1923.66</v>
      </c>
      <c r="E109" s="6">
        <v>9</v>
      </c>
      <c r="F109" s="8">
        <v>0.2</v>
      </c>
      <c r="G109" s="7">
        <v>45580</v>
      </c>
      <c r="H109" s="23">
        <v>769.46</v>
      </c>
    </row>
    <row r="110" spans="1:8" x14ac:dyDescent="0.3">
      <c r="A110" s="10" t="s">
        <v>66</v>
      </c>
      <c r="B110" s="10" t="s">
        <v>34</v>
      </c>
      <c r="C110" s="10" t="s">
        <v>15</v>
      </c>
      <c r="D110" s="19">
        <v>728.71</v>
      </c>
      <c r="E110" s="11">
        <v>14</v>
      </c>
      <c r="F110" s="12">
        <v>0.1</v>
      </c>
      <c r="G110" s="13">
        <v>45581</v>
      </c>
      <c r="H110" s="22">
        <v>327.92</v>
      </c>
    </row>
    <row r="111" spans="1:8" x14ac:dyDescent="0.3">
      <c r="A111" s="2" t="s">
        <v>33</v>
      </c>
      <c r="B111" s="2" t="s">
        <v>34</v>
      </c>
      <c r="C111" s="2" t="s">
        <v>15</v>
      </c>
      <c r="D111" s="20">
        <v>1301.8900000000001</v>
      </c>
      <c r="E111" s="6">
        <v>7</v>
      </c>
      <c r="F111" s="8">
        <v>0.15</v>
      </c>
      <c r="G111" s="7">
        <v>45581</v>
      </c>
      <c r="H111" s="23">
        <v>553.29999999999995</v>
      </c>
    </row>
    <row r="112" spans="1:8" x14ac:dyDescent="0.3">
      <c r="A112" s="10" t="s">
        <v>66</v>
      </c>
      <c r="B112" s="10" t="s">
        <v>18</v>
      </c>
      <c r="C112" s="10" t="s">
        <v>12</v>
      </c>
      <c r="D112" s="19">
        <v>980.18</v>
      </c>
      <c r="E112" s="11">
        <v>16</v>
      </c>
      <c r="F112" s="12">
        <v>0.1</v>
      </c>
      <c r="G112" s="13">
        <v>45582</v>
      </c>
      <c r="H112" s="22">
        <v>352.86</v>
      </c>
    </row>
    <row r="113" spans="1:8" x14ac:dyDescent="0.3">
      <c r="A113" s="2" t="s">
        <v>23</v>
      </c>
      <c r="B113" s="2" t="s">
        <v>11</v>
      </c>
      <c r="C113" s="2" t="s">
        <v>15</v>
      </c>
      <c r="D113" s="20">
        <v>697.57</v>
      </c>
      <c r="E113" s="6">
        <v>17</v>
      </c>
      <c r="F113" s="8">
        <v>0.1</v>
      </c>
      <c r="G113" s="7">
        <v>45584</v>
      </c>
      <c r="H113" s="23">
        <v>313.91000000000003</v>
      </c>
    </row>
    <row r="114" spans="1:8" x14ac:dyDescent="0.3">
      <c r="A114" s="10" t="s">
        <v>71</v>
      </c>
      <c r="B114" s="10" t="s">
        <v>11</v>
      </c>
      <c r="C114" s="10" t="s">
        <v>27</v>
      </c>
      <c r="D114" s="19">
        <v>1193.6099999999999</v>
      </c>
      <c r="E114" s="11">
        <v>1</v>
      </c>
      <c r="F114" s="12">
        <v>0.15</v>
      </c>
      <c r="G114" s="13">
        <v>45584</v>
      </c>
      <c r="H114" s="22">
        <v>355.1</v>
      </c>
    </row>
    <row r="115" spans="1:8" x14ac:dyDescent="0.3">
      <c r="A115" s="2" t="s">
        <v>38</v>
      </c>
      <c r="B115" s="2" t="s">
        <v>20</v>
      </c>
      <c r="C115" s="2" t="s">
        <v>21</v>
      </c>
      <c r="D115" s="20">
        <v>771.02</v>
      </c>
      <c r="E115" s="6">
        <v>1</v>
      </c>
      <c r="F115" s="8">
        <v>0</v>
      </c>
      <c r="G115" s="7">
        <v>45585</v>
      </c>
      <c r="H115" s="23">
        <v>192.76</v>
      </c>
    </row>
    <row r="116" spans="1:8" x14ac:dyDescent="0.3">
      <c r="A116" s="10" t="s">
        <v>69</v>
      </c>
      <c r="B116" s="10" t="s">
        <v>24</v>
      </c>
      <c r="C116" s="10" t="s">
        <v>15</v>
      </c>
      <c r="D116" s="19">
        <v>661.09</v>
      </c>
      <c r="E116" s="11">
        <v>1</v>
      </c>
      <c r="F116" s="12">
        <v>0.2</v>
      </c>
      <c r="G116" s="13">
        <v>45593</v>
      </c>
      <c r="H116" s="22">
        <v>264.44</v>
      </c>
    </row>
    <row r="117" spans="1:8" x14ac:dyDescent="0.3">
      <c r="A117" s="2" t="s">
        <v>55</v>
      </c>
      <c r="B117" s="2" t="s">
        <v>11</v>
      </c>
      <c r="C117" s="2" t="s">
        <v>21</v>
      </c>
      <c r="D117" s="20">
        <v>688.83</v>
      </c>
      <c r="E117" s="6">
        <v>15</v>
      </c>
      <c r="F117" s="8">
        <v>0</v>
      </c>
      <c r="G117" s="7">
        <v>45595</v>
      </c>
      <c r="H117" s="23">
        <v>172.21</v>
      </c>
    </row>
    <row r="118" spans="1:8" x14ac:dyDescent="0.3">
      <c r="A118" s="10" t="s">
        <v>29</v>
      </c>
      <c r="B118" s="10" t="s">
        <v>34</v>
      </c>
      <c r="C118" s="10" t="s">
        <v>12</v>
      </c>
      <c r="D118" s="19">
        <v>1249.0999999999999</v>
      </c>
      <c r="E118" s="11">
        <v>4</v>
      </c>
      <c r="F118" s="12">
        <v>0.05</v>
      </c>
      <c r="G118" s="13">
        <v>45597</v>
      </c>
      <c r="H118" s="22">
        <v>474.66</v>
      </c>
    </row>
    <row r="119" spans="1:8" x14ac:dyDescent="0.3">
      <c r="A119" s="2" t="s">
        <v>23</v>
      </c>
      <c r="B119" s="2" t="s">
        <v>18</v>
      </c>
      <c r="C119" s="2" t="s">
        <v>39</v>
      </c>
      <c r="D119" s="20">
        <v>1014.22</v>
      </c>
      <c r="E119" s="6">
        <v>14</v>
      </c>
      <c r="F119" s="8">
        <v>0.05</v>
      </c>
      <c r="G119" s="7">
        <v>45599</v>
      </c>
      <c r="H119" s="23">
        <v>433.58</v>
      </c>
    </row>
    <row r="120" spans="1:8" x14ac:dyDescent="0.3">
      <c r="A120" s="10" t="s">
        <v>48</v>
      </c>
      <c r="B120" s="10" t="s">
        <v>18</v>
      </c>
      <c r="C120" s="10" t="s">
        <v>12</v>
      </c>
      <c r="D120" s="19">
        <v>1010.58</v>
      </c>
      <c r="E120" s="11">
        <v>2</v>
      </c>
      <c r="F120" s="12">
        <v>0.15</v>
      </c>
      <c r="G120" s="13">
        <v>45605</v>
      </c>
      <c r="H120" s="22">
        <v>343.6</v>
      </c>
    </row>
    <row r="121" spans="1:8" x14ac:dyDescent="0.3">
      <c r="A121" s="2" t="s">
        <v>59</v>
      </c>
      <c r="B121" s="2" t="s">
        <v>24</v>
      </c>
      <c r="C121" s="2" t="s">
        <v>27</v>
      </c>
      <c r="D121" s="20">
        <v>957.29</v>
      </c>
      <c r="E121" s="6">
        <v>4</v>
      </c>
      <c r="F121" s="8">
        <v>0.05</v>
      </c>
      <c r="G121" s="7">
        <v>45605</v>
      </c>
      <c r="H121" s="23">
        <v>318.3</v>
      </c>
    </row>
    <row r="122" spans="1:8" x14ac:dyDescent="0.3">
      <c r="A122" s="10" t="s">
        <v>45</v>
      </c>
      <c r="B122" s="10" t="s">
        <v>24</v>
      </c>
      <c r="C122" s="10" t="s">
        <v>27</v>
      </c>
      <c r="D122" s="19">
        <v>1077.92</v>
      </c>
      <c r="E122" s="11">
        <v>3</v>
      </c>
      <c r="F122" s="12">
        <v>0.05</v>
      </c>
      <c r="G122" s="13">
        <v>45608</v>
      </c>
      <c r="H122" s="22">
        <v>358.41</v>
      </c>
    </row>
    <row r="123" spans="1:8" x14ac:dyDescent="0.3">
      <c r="A123" s="2" t="s">
        <v>50</v>
      </c>
      <c r="B123" s="2" t="s">
        <v>20</v>
      </c>
      <c r="C123" s="2" t="s">
        <v>15</v>
      </c>
      <c r="D123" s="20">
        <v>1163.01</v>
      </c>
      <c r="E123" s="6">
        <v>5</v>
      </c>
      <c r="F123" s="8">
        <v>0</v>
      </c>
      <c r="G123" s="7">
        <v>45611</v>
      </c>
      <c r="H123" s="23">
        <v>581.5</v>
      </c>
    </row>
    <row r="124" spans="1:8" x14ac:dyDescent="0.3">
      <c r="A124" s="10" t="s">
        <v>45</v>
      </c>
      <c r="B124" s="10" t="s">
        <v>18</v>
      </c>
      <c r="C124" s="10" t="s">
        <v>39</v>
      </c>
      <c r="D124" s="19">
        <v>1014.56</v>
      </c>
      <c r="E124" s="11">
        <v>10</v>
      </c>
      <c r="F124" s="12">
        <v>0.1</v>
      </c>
      <c r="G124" s="13">
        <v>45612</v>
      </c>
      <c r="H124" s="22">
        <v>410.9</v>
      </c>
    </row>
    <row r="125" spans="1:8" x14ac:dyDescent="0.3">
      <c r="A125" s="2" t="s">
        <v>17</v>
      </c>
      <c r="B125" s="2" t="s">
        <v>20</v>
      </c>
      <c r="C125" s="2" t="s">
        <v>21</v>
      </c>
      <c r="D125" s="20">
        <v>718.04</v>
      </c>
      <c r="E125" s="6">
        <v>14</v>
      </c>
      <c r="F125" s="8">
        <v>0</v>
      </c>
      <c r="G125" s="7">
        <v>45613</v>
      </c>
      <c r="H125" s="23">
        <v>179.51</v>
      </c>
    </row>
    <row r="126" spans="1:8" x14ac:dyDescent="0.3">
      <c r="A126" s="10" t="s">
        <v>17</v>
      </c>
      <c r="B126" s="10" t="s">
        <v>34</v>
      </c>
      <c r="C126" s="10" t="s">
        <v>15</v>
      </c>
      <c r="D126" s="19">
        <v>1277.8499999999999</v>
      </c>
      <c r="E126" s="11">
        <v>18</v>
      </c>
      <c r="F126" s="12">
        <v>0.2</v>
      </c>
      <c r="G126" s="13">
        <v>45613</v>
      </c>
      <c r="H126" s="22">
        <v>511.14</v>
      </c>
    </row>
    <row r="127" spans="1:8" x14ac:dyDescent="0.3">
      <c r="A127" s="2" t="s">
        <v>23</v>
      </c>
      <c r="B127" s="2" t="s">
        <v>24</v>
      </c>
      <c r="C127" s="2" t="s">
        <v>21</v>
      </c>
      <c r="D127" s="20">
        <v>706.73</v>
      </c>
      <c r="E127" s="6">
        <v>1</v>
      </c>
      <c r="F127" s="8">
        <v>0.15</v>
      </c>
      <c r="G127" s="7">
        <v>45613</v>
      </c>
      <c r="H127" s="23">
        <v>150.18</v>
      </c>
    </row>
    <row r="128" spans="1:8" x14ac:dyDescent="0.3">
      <c r="A128" s="10" t="s">
        <v>50</v>
      </c>
      <c r="B128" s="10" t="s">
        <v>18</v>
      </c>
      <c r="C128" s="10" t="s">
        <v>21</v>
      </c>
      <c r="D128" s="19">
        <v>1410.59</v>
      </c>
      <c r="E128" s="11">
        <v>15</v>
      </c>
      <c r="F128" s="12">
        <v>0</v>
      </c>
      <c r="G128" s="13">
        <v>45615</v>
      </c>
      <c r="H128" s="22">
        <v>352.65</v>
      </c>
    </row>
    <row r="129" spans="1:8" x14ac:dyDescent="0.3">
      <c r="A129" s="2" t="s">
        <v>61</v>
      </c>
      <c r="B129" s="2" t="s">
        <v>20</v>
      </c>
      <c r="C129" s="2" t="s">
        <v>27</v>
      </c>
      <c r="D129" s="20">
        <v>1350.33</v>
      </c>
      <c r="E129" s="6">
        <v>10</v>
      </c>
      <c r="F129" s="8">
        <v>0</v>
      </c>
      <c r="G129" s="7">
        <v>45615</v>
      </c>
      <c r="H129" s="23">
        <v>472.62</v>
      </c>
    </row>
    <row r="130" spans="1:8" x14ac:dyDescent="0.3">
      <c r="A130" s="10" t="s">
        <v>45</v>
      </c>
      <c r="B130" s="10" t="s">
        <v>18</v>
      </c>
      <c r="C130" s="10" t="s">
        <v>21</v>
      </c>
      <c r="D130" s="19">
        <v>919.18</v>
      </c>
      <c r="E130" s="11">
        <v>4</v>
      </c>
      <c r="F130" s="12">
        <v>0.15</v>
      </c>
      <c r="G130" s="13">
        <v>45615</v>
      </c>
      <c r="H130" s="22">
        <v>195.33</v>
      </c>
    </row>
    <row r="131" spans="1:8" x14ac:dyDescent="0.3">
      <c r="A131" s="2" t="s">
        <v>23</v>
      </c>
      <c r="B131" s="2" t="s">
        <v>11</v>
      </c>
      <c r="C131" s="2" t="s">
        <v>21</v>
      </c>
      <c r="D131" s="20">
        <v>258.51</v>
      </c>
      <c r="E131" s="6">
        <v>19</v>
      </c>
      <c r="F131" s="8">
        <v>0</v>
      </c>
      <c r="G131" s="7">
        <v>45616</v>
      </c>
      <c r="H131" s="23">
        <v>64.63</v>
      </c>
    </row>
    <row r="132" spans="1:8" x14ac:dyDescent="0.3">
      <c r="A132" s="10" t="s">
        <v>61</v>
      </c>
      <c r="B132" s="10" t="s">
        <v>18</v>
      </c>
      <c r="C132" s="10" t="s">
        <v>12</v>
      </c>
      <c r="D132" s="19">
        <v>1213.48</v>
      </c>
      <c r="E132" s="11">
        <v>5</v>
      </c>
      <c r="F132" s="12">
        <v>0.05</v>
      </c>
      <c r="G132" s="13">
        <v>45616</v>
      </c>
      <c r="H132" s="22">
        <v>461.12</v>
      </c>
    </row>
    <row r="133" spans="1:8" x14ac:dyDescent="0.3">
      <c r="A133" s="2" t="s">
        <v>38</v>
      </c>
      <c r="B133" s="2" t="s">
        <v>34</v>
      </c>
      <c r="C133" s="2" t="s">
        <v>12</v>
      </c>
      <c r="D133" s="20">
        <v>1150.28</v>
      </c>
      <c r="E133" s="6">
        <v>8</v>
      </c>
      <c r="F133" s="8">
        <v>0.05</v>
      </c>
      <c r="G133" s="7">
        <v>45622</v>
      </c>
      <c r="H133" s="23">
        <v>437.11</v>
      </c>
    </row>
    <row r="134" spans="1:8" x14ac:dyDescent="0.3">
      <c r="A134" s="10" t="s">
        <v>71</v>
      </c>
      <c r="B134" s="10" t="s">
        <v>20</v>
      </c>
      <c r="C134" s="10" t="s">
        <v>27</v>
      </c>
      <c r="D134" s="19">
        <v>853.86</v>
      </c>
      <c r="E134" s="11">
        <v>8</v>
      </c>
      <c r="F134" s="12">
        <v>0.1</v>
      </c>
      <c r="G134" s="13">
        <v>45622</v>
      </c>
      <c r="H134" s="22">
        <v>268.97000000000003</v>
      </c>
    </row>
    <row r="135" spans="1:8" x14ac:dyDescent="0.3">
      <c r="A135" s="2" t="s">
        <v>45</v>
      </c>
      <c r="B135" s="2" t="s">
        <v>20</v>
      </c>
      <c r="C135" s="2" t="s">
        <v>21</v>
      </c>
      <c r="D135" s="20">
        <v>1061.04</v>
      </c>
      <c r="E135" s="6">
        <v>1</v>
      </c>
      <c r="F135" s="8">
        <v>0</v>
      </c>
      <c r="G135" s="7">
        <v>45624</v>
      </c>
      <c r="H135" s="23">
        <v>265.26</v>
      </c>
    </row>
    <row r="136" spans="1:8" x14ac:dyDescent="0.3">
      <c r="A136" s="10" t="s">
        <v>43</v>
      </c>
      <c r="B136" s="10" t="s">
        <v>11</v>
      </c>
      <c r="C136" s="10" t="s">
        <v>21</v>
      </c>
      <c r="D136" s="19">
        <v>894.55</v>
      </c>
      <c r="E136" s="11">
        <v>19</v>
      </c>
      <c r="F136" s="12">
        <v>0.2</v>
      </c>
      <c r="G136" s="13">
        <v>45625</v>
      </c>
      <c r="H136" s="22">
        <v>178.91</v>
      </c>
    </row>
    <row r="137" spans="1:8" x14ac:dyDescent="0.3">
      <c r="A137" s="2" t="s">
        <v>38</v>
      </c>
      <c r="B137" s="2" t="s">
        <v>24</v>
      </c>
      <c r="C137" s="2" t="s">
        <v>39</v>
      </c>
      <c r="D137" s="20">
        <v>833.91</v>
      </c>
      <c r="E137" s="6">
        <v>3</v>
      </c>
      <c r="F137" s="8">
        <v>0.05</v>
      </c>
      <c r="G137" s="7">
        <v>45626</v>
      </c>
      <c r="H137" s="23">
        <v>356.5</v>
      </c>
    </row>
    <row r="138" spans="1:8" x14ac:dyDescent="0.3">
      <c r="A138" s="10" t="s">
        <v>71</v>
      </c>
      <c r="B138" s="10" t="s">
        <v>11</v>
      </c>
      <c r="C138" s="10" t="s">
        <v>27</v>
      </c>
      <c r="D138" s="19">
        <v>820.19</v>
      </c>
      <c r="E138" s="11">
        <v>4</v>
      </c>
      <c r="F138" s="12">
        <v>0.2</v>
      </c>
      <c r="G138" s="13">
        <v>45630</v>
      </c>
      <c r="H138" s="22">
        <v>229.65</v>
      </c>
    </row>
    <row r="139" spans="1:8" x14ac:dyDescent="0.3">
      <c r="A139" s="2" t="s">
        <v>38</v>
      </c>
      <c r="B139" s="2" t="s">
        <v>34</v>
      </c>
      <c r="C139" s="2" t="s">
        <v>21</v>
      </c>
      <c r="D139" s="20">
        <v>511.74</v>
      </c>
      <c r="E139" s="6">
        <v>8</v>
      </c>
      <c r="F139" s="8">
        <v>0.05</v>
      </c>
      <c r="G139" s="7">
        <v>45631</v>
      </c>
      <c r="H139" s="23">
        <v>121.54</v>
      </c>
    </row>
    <row r="140" spans="1:8" x14ac:dyDescent="0.3">
      <c r="A140" s="10" t="s">
        <v>61</v>
      </c>
      <c r="B140" s="10" t="s">
        <v>20</v>
      </c>
      <c r="C140" s="10" t="s">
        <v>27</v>
      </c>
      <c r="D140" s="19">
        <v>806.03</v>
      </c>
      <c r="E140" s="11">
        <v>19</v>
      </c>
      <c r="F140" s="12">
        <v>0.05</v>
      </c>
      <c r="G140" s="13">
        <v>45638</v>
      </c>
      <c r="H140" s="22">
        <v>268</v>
      </c>
    </row>
    <row r="141" spans="1:8" x14ac:dyDescent="0.3">
      <c r="A141" s="2" t="s">
        <v>26</v>
      </c>
      <c r="B141" s="2" t="s">
        <v>34</v>
      </c>
      <c r="C141" s="2" t="s">
        <v>27</v>
      </c>
      <c r="D141" s="20">
        <v>1432.47</v>
      </c>
      <c r="E141" s="6">
        <v>16</v>
      </c>
      <c r="F141" s="8">
        <v>0.15</v>
      </c>
      <c r="G141" s="7">
        <v>45640</v>
      </c>
      <c r="H141" s="23">
        <v>426.16</v>
      </c>
    </row>
    <row r="142" spans="1:8" x14ac:dyDescent="0.3">
      <c r="A142" s="10" t="s">
        <v>29</v>
      </c>
      <c r="B142" s="10" t="s">
        <v>34</v>
      </c>
      <c r="C142" s="10" t="s">
        <v>21</v>
      </c>
      <c r="D142" s="19">
        <v>1488.58</v>
      </c>
      <c r="E142" s="11">
        <v>10</v>
      </c>
      <c r="F142" s="12">
        <v>0.15</v>
      </c>
      <c r="G142" s="13">
        <v>45640</v>
      </c>
      <c r="H142" s="22">
        <v>316.32</v>
      </c>
    </row>
    <row r="143" spans="1:8" x14ac:dyDescent="0.3">
      <c r="A143" s="2" t="s">
        <v>66</v>
      </c>
      <c r="B143" s="2" t="s">
        <v>18</v>
      </c>
      <c r="C143" s="2" t="s">
        <v>12</v>
      </c>
      <c r="D143" s="20">
        <v>1231.26</v>
      </c>
      <c r="E143" s="6">
        <v>9</v>
      </c>
      <c r="F143" s="8">
        <v>0</v>
      </c>
      <c r="G143" s="7">
        <v>45646</v>
      </c>
      <c r="H143" s="23">
        <v>492.5</v>
      </c>
    </row>
    <row r="144" spans="1:8" x14ac:dyDescent="0.3">
      <c r="A144" s="10" t="s">
        <v>43</v>
      </c>
      <c r="B144" s="10" t="s">
        <v>11</v>
      </c>
      <c r="C144" s="10" t="s">
        <v>21</v>
      </c>
      <c r="D144" s="19">
        <v>1161.67</v>
      </c>
      <c r="E144" s="11">
        <v>19</v>
      </c>
      <c r="F144" s="12">
        <v>0.2</v>
      </c>
      <c r="G144" s="13">
        <v>45647</v>
      </c>
      <c r="H144" s="22">
        <v>232.33</v>
      </c>
    </row>
    <row r="145" spans="1:8" x14ac:dyDescent="0.3">
      <c r="A145" s="2" t="s">
        <v>45</v>
      </c>
      <c r="B145" s="2" t="s">
        <v>34</v>
      </c>
      <c r="C145" s="2" t="s">
        <v>39</v>
      </c>
      <c r="D145" s="20">
        <v>388.23</v>
      </c>
      <c r="E145" s="6">
        <v>16</v>
      </c>
      <c r="F145" s="8">
        <v>0.05</v>
      </c>
      <c r="G145" s="7">
        <v>45650</v>
      </c>
      <c r="H145" s="23">
        <v>165.97</v>
      </c>
    </row>
    <row r="146" spans="1:8" x14ac:dyDescent="0.3">
      <c r="A146" s="10" t="s">
        <v>31</v>
      </c>
      <c r="B146" s="10" t="s">
        <v>24</v>
      </c>
      <c r="C146" s="10" t="s">
        <v>15</v>
      </c>
      <c r="D146" s="19">
        <v>1589.42</v>
      </c>
      <c r="E146" s="11">
        <v>6</v>
      </c>
      <c r="F146" s="12">
        <v>0.15</v>
      </c>
      <c r="G146" s="13">
        <v>45651</v>
      </c>
      <c r="H146" s="22">
        <v>675.5</v>
      </c>
    </row>
    <row r="147" spans="1:8" x14ac:dyDescent="0.3">
      <c r="A147" s="2" t="s">
        <v>71</v>
      </c>
      <c r="B147" s="2" t="s">
        <v>24</v>
      </c>
      <c r="C147" s="2" t="s">
        <v>15</v>
      </c>
      <c r="D147" s="20">
        <v>336.66</v>
      </c>
      <c r="E147" s="6">
        <v>13</v>
      </c>
      <c r="F147" s="8">
        <v>0.2</v>
      </c>
      <c r="G147" s="7">
        <v>45651</v>
      </c>
      <c r="H147" s="23">
        <v>134.66</v>
      </c>
    </row>
    <row r="148" spans="1:8" x14ac:dyDescent="0.3">
      <c r="A148" s="10" t="s">
        <v>23</v>
      </c>
      <c r="B148" s="10" t="s">
        <v>11</v>
      </c>
      <c r="C148" s="10" t="s">
        <v>12</v>
      </c>
      <c r="D148" s="19">
        <v>1353.79</v>
      </c>
      <c r="E148" s="11">
        <v>14</v>
      </c>
      <c r="F148" s="12">
        <v>0.1</v>
      </c>
      <c r="G148" s="13">
        <v>45656</v>
      </c>
      <c r="H148" s="22">
        <v>487.36</v>
      </c>
    </row>
    <row r="149" spans="1:8" x14ac:dyDescent="0.3">
      <c r="A149" s="2" t="s">
        <v>69</v>
      </c>
      <c r="B149" s="2" t="s">
        <v>34</v>
      </c>
      <c r="C149" s="2" t="s">
        <v>15</v>
      </c>
      <c r="D149" s="20">
        <v>662.61</v>
      </c>
      <c r="E149" s="6">
        <v>11</v>
      </c>
      <c r="F149" s="8">
        <v>0.05</v>
      </c>
      <c r="G149" s="7">
        <v>45658</v>
      </c>
      <c r="H149" s="23">
        <v>314.74</v>
      </c>
    </row>
    <row r="150" spans="1:8" x14ac:dyDescent="0.3">
      <c r="A150" s="10" t="s">
        <v>48</v>
      </c>
      <c r="B150" s="10" t="s">
        <v>24</v>
      </c>
      <c r="C150" s="10" t="s">
        <v>39</v>
      </c>
      <c r="D150" s="19">
        <v>309.42</v>
      </c>
      <c r="E150" s="11">
        <v>1</v>
      </c>
      <c r="F150" s="12">
        <v>0.2</v>
      </c>
      <c r="G150" s="13">
        <v>45658</v>
      </c>
      <c r="H150" s="22">
        <v>111.39</v>
      </c>
    </row>
    <row r="151" spans="1:8" x14ac:dyDescent="0.3">
      <c r="A151" s="2" t="s">
        <v>29</v>
      </c>
      <c r="B151" s="2" t="s">
        <v>24</v>
      </c>
      <c r="C151" s="2" t="s">
        <v>12</v>
      </c>
      <c r="D151" s="20">
        <v>884.63</v>
      </c>
      <c r="E151" s="6">
        <v>18</v>
      </c>
      <c r="F151" s="8">
        <v>0.1</v>
      </c>
      <c r="G151" s="7">
        <v>45659</v>
      </c>
      <c r="H151" s="23">
        <v>318.47000000000003</v>
      </c>
    </row>
    <row r="152" spans="1:8" x14ac:dyDescent="0.3">
      <c r="A152" s="10" t="s">
        <v>23</v>
      </c>
      <c r="B152" s="10" t="s">
        <v>34</v>
      </c>
      <c r="C152" s="10" t="s">
        <v>39</v>
      </c>
      <c r="D152" s="19">
        <v>745.05</v>
      </c>
      <c r="E152" s="11">
        <v>10</v>
      </c>
      <c r="F152" s="12">
        <v>0.1</v>
      </c>
      <c r="G152" s="13">
        <v>45660</v>
      </c>
      <c r="H152" s="22">
        <v>301.75</v>
      </c>
    </row>
    <row r="153" spans="1:8" x14ac:dyDescent="0.3">
      <c r="A153" s="2" t="s">
        <v>17</v>
      </c>
      <c r="B153" s="2" t="s">
        <v>20</v>
      </c>
      <c r="C153" s="2" t="s">
        <v>15</v>
      </c>
      <c r="D153" s="20">
        <v>870.23</v>
      </c>
      <c r="E153" s="6">
        <v>5</v>
      </c>
      <c r="F153" s="8">
        <v>0.05</v>
      </c>
      <c r="G153" s="7">
        <v>45660</v>
      </c>
      <c r="H153" s="23">
        <v>413.36</v>
      </c>
    </row>
    <row r="154" spans="1:8" x14ac:dyDescent="0.3">
      <c r="A154" s="10" t="s">
        <v>29</v>
      </c>
      <c r="B154" s="10" t="s">
        <v>11</v>
      </c>
      <c r="C154" s="10" t="s">
        <v>27</v>
      </c>
      <c r="D154" s="19">
        <v>862.19</v>
      </c>
      <c r="E154" s="11">
        <v>18</v>
      </c>
      <c r="F154" s="12">
        <v>0.05</v>
      </c>
      <c r="G154" s="13">
        <v>45663</v>
      </c>
      <c r="H154" s="22">
        <v>286.68</v>
      </c>
    </row>
    <row r="155" spans="1:8" x14ac:dyDescent="0.3">
      <c r="A155" s="2" t="s">
        <v>59</v>
      </c>
      <c r="B155" s="2" t="s">
        <v>24</v>
      </c>
      <c r="C155" s="2" t="s">
        <v>15</v>
      </c>
      <c r="D155" s="20">
        <v>1171.18</v>
      </c>
      <c r="E155" s="6">
        <v>19</v>
      </c>
      <c r="F155" s="8">
        <v>0.05</v>
      </c>
      <c r="G155" s="7">
        <v>45667</v>
      </c>
      <c r="H155" s="23">
        <v>556.30999999999995</v>
      </c>
    </row>
    <row r="156" spans="1:8" x14ac:dyDescent="0.3">
      <c r="A156" s="10" t="s">
        <v>14</v>
      </c>
      <c r="B156" s="10" t="s">
        <v>20</v>
      </c>
      <c r="C156" s="10" t="s">
        <v>27</v>
      </c>
      <c r="D156" s="19">
        <v>1054.56</v>
      </c>
      <c r="E156" s="11">
        <v>11</v>
      </c>
      <c r="F156" s="12">
        <v>0.1</v>
      </c>
      <c r="G156" s="13">
        <v>45669</v>
      </c>
      <c r="H156" s="22">
        <v>332.19</v>
      </c>
    </row>
    <row r="157" spans="1:8" x14ac:dyDescent="0.3">
      <c r="A157" s="2" t="s">
        <v>23</v>
      </c>
      <c r="B157" s="2" t="s">
        <v>24</v>
      </c>
      <c r="C157" s="2" t="s">
        <v>21</v>
      </c>
      <c r="D157" s="20">
        <v>1681.21</v>
      </c>
      <c r="E157" s="6">
        <v>5</v>
      </c>
      <c r="F157" s="8">
        <v>0.2</v>
      </c>
      <c r="G157" s="7">
        <v>45670</v>
      </c>
      <c r="H157" s="23">
        <v>336.24</v>
      </c>
    </row>
    <row r="158" spans="1:8" x14ac:dyDescent="0.3">
      <c r="A158" s="10" t="s">
        <v>36</v>
      </c>
      <c r="B158" s="10" t="s">
        <v>11</v>
      </c>
      <c r="C158" s="10" t="s">
        <v>15</v>
      </c>
      <c r="D158" s="19">
        <v>379.77</v>
      </c>
      <c r="E158" s="11">
        <v>9</v>
      </c>
      <c r="F158" s="12">
        <v>0.05</v>
      </c>
      <c r="G158" s="13">
        <v>45673</v>
      </c>
      <c r="H158" s="22">
        <v>180.39</v>
      </c>
    </row>
    <row r="159" spans="1:8" x14ac:dyDescent="0.3">
      <c r="A159" s="2" t="s">
        <v>45</v>
      </c>
      <c r="B159" s="2" t="s">
        <v>34</v>
      </c>
      <c r="C159" s="2" t="s">
        <v>15</v>
      </c>
      <c r="D159" s="20">
        <v>1076.33</v>
      </c>
      <c r="E159" s="6">
        <v>2</v>
      </c>
      <c r="F159" s="8">
        <v>0.1</v>
      </c>
      <c r="G159" s="7">
        <v>45674</v>
      </c>
      <c r="H159" s="23">
        <v>484.35</v>
      </c>
    </row>
    <row r="160" spans="1:8" x14ac:dyDescent="0.3">
      <c r="A160" s="10" t="s">
        <v>31</v>
      </c>
      <c r="B160" s="10" t="s">
        <v>34</v>
      </c>
      <c r="C160" s="10" t="s">
        <v>39</v>
      </c>
      <c r="D160" s="19">
        <v>1250.71</v>
      </c>
      <c r="E160" s="11">
        <v>7</v>
      </c>
      <c r="F160" s="12">
        <v>0</v>
      </c>
      <c r="G160" s="13">
        <v>45674</v>
      </c>
      <c r="H160" s="22">
        <v>562.82000000000005</v>
      </c>
    </row>
    <row r="161" spans="1:8" x14ac:dyDescent="0.3">
      <c r="A161" s="2" t="s">
        <v>17</v>
      </c>
      <c r="B161" s="2" t="s">
        <v>20</v>
      </c>
      <c r="C161" s="2" t="s">
        <v>15</v>
      </c>
      <c r="D161" s="20">
        <v>1118.3399999999999</v>
      </c>
      <c r="E161" s="6">
        <v>6</v>
      </c>
      <c r="F161" s="8">
        <v>0.2</v>
      </c>
      <c r="G161" s="7">
        <v>45674</v>
      </c>
      <c r="H161" s="23">
        <v>447.34</v>
      </c>
    </row>
    <row r="162" spans="1:8" x14ac:dyDescent="0.3">
      <c r="A162" s="10" t="s">
        <v>53</v>
      </c>
      <c r="B162" s="10" t="s">
        <v>24</v>
      </c>
      <c r="C162" s="10" t="s">
        <v>15</v>
      </c>
      <c r="D162" s="19">
        <v>1622.62</v>
      </c>
      <c r="E162" s="11">
        <v>12</v>
      </c>
      <c r="F162" s="12">
        <v>0.2</v>
      </c>
      <c r="G162" s="13">
        <v>45677</v>
      </c>
      <c r="H162" s="22">
        <v>649.04999999999995</v>
      </c>
    </row>
    <row r="163" spans="1:8" x14ac:dyDescent="0.3">
      <c r="A163" s="2" t="s">
        <v>48</v>
      </c>
      <c r="B163" s="2" t="s">
        <v>24</v>
      </c>
      <c r="C163" s="2" t="s">
        <v>12</v>
      </c>
      <c r="D163" s="20">
        <v>640.64</v>
      </c>
      <c r="E163" s="6">
        <v>11</v>
      </c>
      <c r="F163" s="8">
        <v>0.2</v>
      </c>
      <c r="G163" s="7">
        <v>45678</v>
      </c>
      <c r="H163" s="23">
        <v>205</v>
      </c>
    </row>
    <row r="164" spans="1:8" x14ac:dyDescent="0.3">
      <c r="A164" s="10" t="s">
        <v>43</v>
      </c>
      <c r="B164" s="10" t="s">
        <v>11</v>
      </c>
      <c r="C164" s="10" t="s">
        <v>15</v>
      </c>
      <c r="D164" s="19">
        <v>585.16</v>
      </c>
      <c r="E164" s="11">
        <v>17</v>
      </c>
      <c r="F164" s="12">
        <v>0.1</v>
      </c>
      <c r="G164" s="13">
        <v>45684</v>
      </c>
      <c r="H164" s="22">
        <v>263.32</v>
      </c>
    </row>
    <row r="165" spans="1:8" x14ac:dyDescent="0.3">
      <c r="A165" s="2" t="s">
        <v>31</v>
      </c>
      <c r="B165" s="2" t="s">
        <v>18</v>
      </c>
      <c r="C165" s="2" t="s">
        <v>15</v>
      </c>
      <c r="D165" s="20">
        <v>1109.98</v>
      </c>
      <c r="E165" s="6">
        <v>5</v>
      </c>
      <c r="F165" s="8">
        <v>0.2</v>
      </c>
      <c r="G165" s="7">
        <v>45690</v>
      </c>
      <c r="H165" s="23">
        <v>443.99</v>
      </c>
    </row>
    <row r="166" spans="1:8" x14ac:dyDescent="0.3">
      <c r="A166" s="10" t="s">
        <v>45</v>
      </c>
      <c r="B166" s="10" t="s">
        <v>18</v>
      </c>
      <c r="C166" s="10" t="s">
        <v>12</v>
      </c>
      <c r="D166" s="19">
        <v>1098.08</v>
      </c>
      <c r="E166" s="11">
        <v>9</v>
      </c>
      <c r="F166" s="12">
        <v>0.1</v>
      </c>
      <c r="G166" s="13">
        <v>45692</v>
      </c>
      <c r="H166" s="22">
        <v>395.31</v>
      </c>
    </row>
    <row r="167" spans="1:8" x14ac:dyDescent="0.3">
      <c r="A167" s="2" t="s">
        <v>48</v>
      </c>
      <c r="B167" s="2" t="s">
        <v>11</v>
      </c>
      <c r="C167" s="2" t="s">
        <v>39</v>
      </c>
      <c r="D167" s="20">
        <v>827.25</v>
      </c>
      <c r="E167" s="6">
        <v>7</v>
      </c>
      <c r="F167" s="8">
        <v>0.1</v>
      </c>
      <c r="G167" s="7">
        <v>45693</v>
      </c>
      <c r="H167" s="23">
        <v>335.04</v>
      </c>
    </row>
    <row r="168" spans="1:8" x14ac:dyDescent="0.3">
      <c r="A168" s="10" t="s">
        <v>29</v>
      </c>
      <c r="B168" s="10" t="s">
        <v>34</v>
      </c>
      <c r="C168" s="10" t="s">
        <v>15</v>
      </c>
      <c r="D168" s="19">
        <v>741.88</v>
      </c>
      <c r="E168" s="11">
        <v>16</v>
      </c>
      <c r="F168" s="12">
        <v>0.1</v>
      </c>
      <c r="G168" s="13">
        <v>45695</v>
      </c>
      <c r="H168" s="22">
        <v>333.85</v>
      </c>
    </row>
    <row r="169" spans="1:8" x14ac:dyDescent="0.3">
      <c r="A169" s="2" t="s">
        <v>10</v>
      </c>
      <c r="B169" s="2" t="s">
        <v>18</v>
      </c>
      <c r="C169" s="2" t="s">
        <v>39</v>
      </c>
      <c r="D169" s="20">
        <v>1311.26</v>
      </c>
      <c r="E169" s="6">
        <v>6</v>
      </c>
      <c r="F169" s="8">
        <v>0.1</v>
      </c>
      <c r="G169" s="7">
        <v>45698</v>
      </c>
      <c r="H169" s="23">
        <v>531.05999999999995</v>
      </c>
    </row>
    <row r="170" spans="1:8" x14ac:dyDescent="0.3">
      <c r="A170" s="10" t="s">
        <v>31</v>
      </c>
      <c r="B170" s="10" t="s">
        <v>20</v>
      </c>
      <c r="C170" s="10" t="s">
        <v>39</v>
      </c>
      <c r="D170" s="19">
        <v>573.32000000000005</v>
      </c>
      <c r="E170" s="11">
        <v>19</v>
      </c>
      <c r="F170" s="12">
        <v>0.1</v>
      </c>
      <c r="G170" s="13">
        <v>45703</v>
      </c>
      <c r="H170" s="22">
        <v>232.19</v>
      </c>
    </row>
    <row r="171" spans="1:8" x14ac:dyDescent="0.3">
      <c r="A171" s="2" t="s">
        <v>23</v>
      </c>
      <c r="B171" s="2" t="s">
        <v>11</v>
      </c>
      <c r="C171" s="2" t="s">
        <v>21</v>
      </c>
      <c r="D171" s="20">
        <v>1115.22</v>
      </c>
      <c r="E171" s="6">
        <v>14</v>
      </c>
      <c r="F171" s="8">
        <v>0.2</v>
      </c>
      <c r="G171" s="7">
        <v>45705</v>
      </c>
      <c r="H171" s="23">
        <v>223.04</v>
      </c>
    </row>
    <row r="172" spans="1:8" x14ac:dyDescent="0.3">
      <c r="A172" s="10" t="s">
        <v>45</v>
      </c>
      <c r="B172" s="10" t="s">
        <v>24</v>
      </c>
      <c r="C172" s="10" t="s">
        <v>15</v>
      </c>
      <c r="D172" s="19">
        <v>845.84</v>
      </c>
      <c r="E172" s="11">
        <v>4</v>
      </c>
      <c r="F172" s="12">
        <v>0</v>
      </c>
      <c r="G172" s="13">
        <v>45707</v>
      </c>
      <c r="H172" s="22">
        <v>422.92</v>
      </c>
    </row>
    <row r="173" spans="1:8" x14ac:dyDescent="0.3">
      <c r="A173" s="2" t="s">
        <v>55</v>
      </c>
      <c r="B173" s="2" t="s">
        <v>11</v>
      </c>
      <c r="C173" s="2" t="s">
        <v>21</v>
      </c>
      <c r="D173" s="20">
        <v>1029.8</v>
      </c>
      <c r="E173" s="6">
        <v>3</v>
      </c>
      <c r="F173" s="8">
        <v>0</v>
      </c>
      <c r="G173" s="7">
        <v>45708</v>
      </c>
      <c r="H173" s="23">
        <v>257.45</v>
      </c>
    </row>
    <row r="174" spans="1:8" x14ac:dyDescent="0.3">
      <c r="A174" s="10" t="s">
        <v>31</v>
      </c>
      <c r="B174" s="10" t="s">
        <v>24</v>
      </c>
      <c r="C174" s="10" t="s">
        <v>12</v>
      </c>
      <c r="D174" s="19">
        <v>1189.83</v>
      </c>
      <c r="E174" s="11">
        <v>2</v>
      </c>
      <c r="F174" s="12">
        <v>0.2</v>
      </c>
      <c r="G174" s="13">
        <v>45709</v>
      </c>
      <c r="H174" s="22">
        <v>380.75</v>
      </c>
    </row>
    <row r="175" spans="1:8" x14ac:dyDescent="0.3">
      <c r="A175" s="2" t="s">
        <v>43</v>
      </c>
      <c r="B175" s="2" t="s">
        <v>20</v>
      </c>
      <c r="C175" s="2" t="s">
        <v>12</v>
      </c>
      <c r="D175" s="20">
        <v>704.28</v>
      </c>
      <c r="E175" s="6">
        <v>15</v>
      </c>
      <c r="F175" s="8">
        <v>0.2</v>
      </c>
      <c r="G175" s="7">
        <v>45712</v>
      </c>
      <c r="H175" s="23">
        <v>225.37</v>
      </c>
    </row>
    <row r="176" spans="1:8" x14ac:dyDescent="0.3">
      <c r="A176" s="10" t="s">
        <v>47</v>
      </c>
      <c r="B176" s="10" t="s">
        <v>34</v>
      </c>
      <c r="C176" s="10" t="s">
        <v>39</v>
      </c>
      <c r="D176" s="19">
        <v>1618.22</v>
      </c>
      <c r="E176" s="11">
        <v>12</v>
      </c>
      <c r="F176" s="12">
        <v>0.2</v>
      </c>
      <c r="G176" s="13">
        <v>45712</v>
      </c>
      <c r="H176" s="22">
        <v>582.55999999999995</v>
      </c>
    </row>
    <row r="177" spans="1:8" x14ac:dyDescent="0.3">
      <c r="A177" s="2" t="s">
        <v>53</v>
      </c>
      <c r="B177" s="2" t="s">
        <v>34</v>
      </c>
      <c r="C177" s="2" t="s">
        <v>12</v>
      </c>
      <c r="D177" s="20">
        <v>1014.43</v>
      </c>
      <c r="E177" s="6">
        <v>2</v>
      </c>
      <c r="F177" s="8">
        <v>0.15</v>
      </c>
      <c r="G177" s="7">
        <v>45713</v>
      </c>
      <c r="H177" s="23">
        <v>344.91</v>
      </c>
    </row>
    <row r="178" spans="1:8" x14ac:dyDescent="0.3">
      <c r="A178" s="10" t="s">
        <v>31</v>
      </c>
      <c r="B178" s="10" t="s">
        <v>34</v>
      </c>
      <c r="C178" s="10" t="s">
        <v>15</v>
      </c>
      <c r="D178" s="19">
        <v>826.97</v>
      </c>
      <c r="E178" s="11">
        <v>18</v>
      </c>
      <c r="F178" s="12">
        <v>0.2</v>
      </c>
      <c r="G178" s="13">
        <v>45715</v>
      </c>
      <c r="H178" s="22">
        <v>330.79</v>
      </c>
    </row>
    <row r="179" spans="1:8" x14ac:dyDescent="0.3">
      <c r="A179" s="2" t="s">
        <v>31</v>
      </c>
      <c r="B179" s="2" t="s">
        <v>34</v>
      </c>
      <c r="C179" s="2" t="s">
        <v>15</v>
      </c>
      <c r="D179" s="20">
        <v>1022.23</v>
      </c>
      <c r="E179" s="6">
        <v>8</v>
      </c>
      <c r="F179" s="8">
        <v>0.1</v>
      </c>
      <c r="G179" s="7">
        <v>45717</v>
      </c>
      <c r="H179" s="23">
        <v>460</v>
      </c>
    </row>
    <row r="180" spans="1:8" x14ac:dyDescent="0.3">
      <c r="A180" s="10" t="s">
        <v>29</v>
      </c>
      <c r="B180" s="10" t="s">
        <v>18</v>
      </c>
      <c r="C180" s="10" t="s">
        <v>12</v>
      </c>
      <c r="D180" s="19">
        <v>1099.69</v>
      </c>
      <c r="E180" s="11">
        <v>6</v>
      </c>
      <c r="F180" s="12">
        <v>0</v>
      </c>
      <c r="G180" s="13">
        <v>45718</v>
      </c>
      <c r="H180" s="22">
        <v>439.88</v>
      </c>
    </row>
    <row r="181" spans="1:8" x14ac:dyDescent="0.3">
      <c r="A181" s="2" t="s">
        <v>64</v>
      </c>
      <c r="B181" s="2" t="s">
        <v>24</v>
      </c>
      <c r="C181" s="2" t="s">
        <v>12</v>
      </c>
      <c r="D181" s="20">
        <v>710.52</v>
      </c>
      <c r="E181" s="6">
        <v>8</v>
      </c>
      <c r="F181" s="8">
        <v>0.1</v>
      </c>
      <c r="G181" s="7">
        <v>45721</v>
      </c>
      <c r="H181" s="23">
        <v>255.79</v>
      </c>
    </row>
    <row r="182" spans="1:8" x14ac:dyDescent="0.3">
      <c r="A182" s="10" t="s">
        <v>59</v>
      </c>
      <c r="B182" s="10" t="s">
        <v>24</v>
      </c>
      <c r="C182" s="10" t="s">
        <v>12</v>
      </c>
      <c r="D182" s="19">
        <v>499.18</v>
      </c>
      <c r="E182" s="11">
        <v>15</v>
      </c>
      <c r="F182" s="12">
        <v>0.2</v>
      </c>
      <c r="G182" s="13">
        <v>45724</v>
      </c>
      <c r="H182" s="22">
        <v>159.74</v>
      </c>
    </row>
    <row r="183" spans="1:8" x14ac:dyDescent="0.3">
      <c r="A183" s="2" t="s">
        <v>38</v>
      </c>
      <c r="B183" s="2" t="s">
        <v>20</v>
      </c>
      <c r="C183" s="2" t="s">
        <v>12</v>
      </c>
      <c r="D183" s="20">
        <v>1064.19</v>
      </c>
      <c r="E183" s="6">
        <v>18</v>
      </c>
      <c r="F183" s="8">
        <v>0.05</v>
      </c>
      <c r="G183" s="7">
        <v>45725</v>
      </c>
      <c r="H183" s="23">
        <v>404.39</v>
      </c>
    </row>
    <row r="184" spans="1:8" x14ac:dyDescent="0.3">
      <c r="A184" s="10" t="s">
        <v>38</v>
      </c>
      <c r="B184" s="10" t="s">
        <v>18</v>
      </c>
      <c r="C184" s="10" t="s">
        <v>39</v>
      </c>
      <c r="D184" s="19">
        <v>438.76</v>
      </c>
      <c r="E184" s="11">
        <v>18</v>
      </c>
      <c r="F184" s="12">
        <v>0.05</v>
      </c>
      <c r="G184" s="13">
        <v>45726</v>
      </c>
      <c r="H184" s="22">
        <v>187.57</v>
      </c>
    </row>
    <row r="185" spans="1:8" x14ac:dyDescent="0.3">
      <c r="A185" s="2" t="s">
        <v>55</v>
      </c>
      <c r="B185" s="2" t="s">
        <v>11</v>
      </c>
      <c r="C185" s="2" t="s">
        <v>15</v>
      </c>
      <c r="D185" s="20">
        <v>864.98</v>
      </c>
      <c r="E185" s="6">
        <v>2</v>
      </c>
      <c r="F185" s="8">
        <v>0.05</v>
      </c>
      <c r="G185" s="7">
        <v>45727</v>
      </c>
      <c r="H185" s="23">
        <v>410.87</v>
      </c>
    </row>
    <row r="186" spans="1:8" x14ac:dyDescent="0.3">
      <c r="A186" s="10" t="s">
        <v>55</v>
      </c>
      <c r="B186" s="10" t="s">
        <v>11</v>
      </c>
      <c r="C186" s="10" t="s">
        <v>27</v>
      </c>
      <c r="D186" s="19">
        <v>984.93</v>
      </c>
      <c r="E186" s="11">
        <v>14</v>
      </c>
      <c r="F186" s="12">
        <v>0.2</v>
      </c>
      <c r="G186" s="13">
        <v>45733</v>
      </c>
      <c r="H186" s="22">
        <v>275.77999999999997</v>
      </c>
    </row>
    <row r="187" spans="1:8" x14ac:dyDescent="0.3">
      <c r="A187" s="2" t="s">
        <v>55</v>
      </c>
      <c r="B187" s="2" t="s">
        <v>11</v>
      </c>
      <c r="C187" s="2" t="s">
        <v>15</v>
      </c>
      <c r="D187" s="20">
        <v>1493.49</v>
      </c>
      <c r="E187" s="6">
        <v>18</v>
      </c>
      <c r="F187" s="8">
        <v>0</v>
      </c>
      <c r="G187" s="7">
        <v>45734</v>
      </c>
      <c r="H187" s="23">
        <v>746.74</v>
      </c>
    </row>
    <row r="188" spans="1:8" x14ac:dyDescent="0.3">
      <c r="A188" s="10" t="s">
        <v>53</v>
      </c>
      <c r="B188" s="10" t="s">
        <v>20</v>
      </c>
      <c r="C188" s="10" t="s">
        <v>15</v>
      </c>
      <c r="D188" s="19">
        <v>689.43</v>
      </c>
      <c r="E188" s="11">
        <v>9</v>
      </c>
      <c r="F188" s="12">
        <v>0.1</v>
      </c>
      <c r="G188" s="13">
        <v>45736</v>
      </c>
      <c r="H188" s="22">
        <v>310.24</v>
      </c>
    </row>
    <row r="189" spans="1:8" x14ac:dyDescent="0.3">
      <c r="A189" s="2" t="s">
        <v>59</v>
      </c>
      <c r="B189" s="2" t="s">
        <v>20</v>
      </c>
      <c r="C189" s="2" t="s">
        <v>15</v>
      </c>
      <c r="D189" s="20">
        <v>682.24</v>
      </c>
      <c r="E189" s="6">
        <v>1</v>
      </c>
      <c r="F189" s="8">
        <v>0</v>
      </c>
      <c r="G189" s="7">
        <v>45738</v>
      </c>
      <c r="H189" s="23">
        <v>341.12</v>
      </c>
    </row>
    <row r="190" spans="1:8" x14ac:dyDescent="0.3">
      <c r="A190" s="10" t="s">
        <v>26</v>
      </c>
      <c r="B190" s="10" t="s">
        <v>24</v>
      </c>
      <c r="C190" s="10" t="s">
        <v>21</v>
      </c>
      <c r="D190" s="19">
        <v>458.54</v>
      </c>
      <c r="E190" s="11">
        <v>15</v>
      </c>
      <c r="F190" s="12">
        <v>0.2</v>
      </c>
      <c r="G190" s="13">
        <v>45741</v>
      </c>
      <c r="H190" s="22">
        <v>91.71</v>
      </c>
    </row>
    <row r="191" spans="1:8" x14ac:dyDescent="0.3">
      <c r="A191" s="2" t="s">
        <v>26</v>
      </c>
      <c r="B191" s="2" t="s">
        <v>20</v>
      </c>
      <c r="C191" s="2" t="s">
        <v>27</v>
      </c>
      <c r="D191" s="20">
        <v>1184.25</v>
      </c>
      <c r="E191" s="6">
        <v>11</v>
      </c>
      <c r="F191" s="8">
        <v>0.2</v>
      </c>
      <c r="G191" s="7">
        <v>45742</v>
      </c>
      <c r="H191" s="23">
        <v>331.59</v>
      </c>
    </row>
    <row r="192" spans="1:8" x14ac:dyDescent="0.3">
      <c r="A192" s="10" t="s">
        <v>10</v>
      </c>
      <c r="B192" s="10" t="s">
        <v>20</v>
      </c>
      <c r="C192" s="10" t="s">
        <v>15</v>
      </c>
      <c r="D192" s="19">
        <v>762.14</v>
      </c>
      <c r="E192" s="11">
        <v>9</v>
      </c>
      <c r="F192" s="12">
        <v>0</v>
      </c>
      <c r="G192" s="13">
        <v>45743</v>
      </c>
      <c r="H192" s="22">
        <v>381.07</v>
      </c>
    </row>
    <row r="193" spans="1:8" x14ac:dyDescent="0.3">
      <c r="A193" s="2" t="s">
        <v>53</v>
      </c>
      <c r="B193" s="2" t="s">
        <v>24</v>
      </c>
      <c r="C193" s="2" t="s">
        <v>12</v>
      </c>
      <c r="D193" s="20">
        <v>750.71</v>
      </c>
      <c r="E193" s="6">
        <v>10</v>
      </c>
      <c r="F193" s="8">
        <v>0.15</v>
      </c>
      <c r="G193" s="7">
        <v>45743</v>
      </c>
      <c r="H193" s="23">
        <v>255.24</v>
      </c>
    </row>
    <row r="194" spans="1:8" x14ac:dyDescent="0.3">
      <c r="A194" s="10" t="s">
        <v>71</v>
      </c>
      <c r="B194" s="10" t="s">
        <v>34</v>
      </c>
      <c r="C194" s="10" t="s">
        <v>15</v>
      </c>
      <c r="D194" s="19">
        <v>1456.94</v>
      </c>
      <c r="E194" s="11">
        <v>14</v>
      </c>
      <c r="F194" s="12">
        <v>0.05</v>
      </c>
      <c r="G194" s="13">
        <v>45745</v>
      </c>
      <c r="H194" s="22">
        <v>692.05</v>
      </c>
    </row>
    <row r="195" spans="1:8" x14ac:dyDescent="0.3">
      <c r="A195" s="2" t="s">
        <v>61</v>
      </c>
      <c r="B195" s="2" t="s">
        <v>18</v>
      </c>
      <c r="C195" s="2" t="s">
        <v>27</v>
      </c>
      <c r="D195" s="20">
        <v>1093.3800000000001</v>
      </c>
      <c r="E195" s="6">
        <v>17</v>
      </c>
      <c r="F195" s="8">
        <v>0.1</v>
      </c>
      <c r="G195" s="7">
        <v>45745</v>
      </c>
      <c r="H195" s="23">
        <v>344.41</v>
      </c>
    </row>
    <row r="196" spans="1:8" x14ac:dyDescent="0.3">
      <c r="A196" s="10" t="s">
        <v>43</v>
      </c>
      <c r="B196" s="10" t="s">
        <v>11</v>
      </c>
      <c r="C196" s="10" t="s">
        <v>15</v>
      </c>
      <c r="D196" s="19">
        <v>934.27</v>
      </c>
      <c r="E196" s="11">
        <v>8</v>
      </c>
      <c r="F196" s="12">
        <v>0.15</v>
      </c>
      <c r="G196" s="13">
        <v>45746</v>
      </c>
      <c r="H196" s="22">
        <v>397.06</v>
      </c>
    </row>
    <row r="197" spans="1:8" x14ac:dyDescent="0.3">
      <c r="A197" s="2" t="s">
        <v>36</v>
      </c>
      <c r="B197" s="2" t="s">
        <v>34</v>
      </c>
      <c r="C197" s="2" t="s">
        <v>15</v>
      </c>
      <c r="D197" s="20">
        <v>1465.35</v>
      </c>
      <c r="E197" s="6">
        <v>8</v>
      </c>
      <c r="F197" s="8">
        <v>0.2</v>
      </c>
      <c r="G197" s="7">
        <v>45746</v>
      </c>
      <c r="H197" s="23">
        <v>586.14</v>
      </c>
    </row>
    <row r="198" spans="1:8" x14ac:dyDescent="0.3">
      <c r="A198" s="10" t="s">
        <v>14</v>
      </c>
      <c r="B198" s="10" t="s">
        <v>20</v>
      </c>
      <c r="C198" s="10" t="s">
        <v>39</v>
      </c>
      <c r="D198" s="19">
        <v>740.8</v>
      </c>
      <c r="E198" s="11">
        <v>3</v>
      </c>
      <c r="F198" s="12">
        <v>0</v>
      </c>
      <c r="G198" s="13">
        <v>45749</v>
      </c>
      <c r="H198" s="22">
        <v>333.36</v>
      </c>
    </row>
    <row r="199" spans="1:8" x14ac:dyDescent="0.3">
      <c r="A199" s="2" t="s">
        <v>43</v>
      </c>
      <c r="B199" s="2" t="s">
        <v>11</v>
      </c>
      <c r="C199" s="2" t="s">
        <v>39</v>
      </c>
      <c r="D199" s="20">
        <v>545.44000000000005</v>
      </c>
      <c r="E199" s="6">
        <v>17</v>
      </c>
      <c r="F199" s="8">
        <v>0</v>
      </c>
      <c r="G199" s="7">
        <v>45752</v>
      </c>
      <c r="H199" s="23">
        <v>245.45</v>
      </c>
    </row>
    <row r="200" spans="1:8" x14ac:dyDescent="0.3">
      <c r="A200" s="10" t="s">
        <v>36</v>
      </c>
      <c r="B200" s="10" t="s">
        <v>18</v>
      </c>
      <c r="C200" s="10" t="s">
        <v>12</v>
      </c>
      <c r="D200" s="19">
        <v>997.61</v>
      </c>
      <c r="E200" s="11">
        <v>8</v>
      </c>
      <c r="F200" s="12">
        <v>0.05</v>
      </c>
      <c r="G200" s="13">
        <v>45752</v>
      </c>
      <c r="H200" s="22">
        <v>379.09</v>
      </c>
    </row>
    <row r="201" spans="1:8" ht="15" thickBot="1" x14ac:dyDescent="0.35">
      <c r="A201" s="14" t="s">
        <v>36</v>
      </c>
      <c r="B201" s="14" t="s">
        <v>20</v>
      </c>
      <c r="C201" s="14" t="s">
        <v>15</v>
      </c>
      <c r="D201" s="21">
        <v>928.32</v>
      </c>
      <c r="E201" s="15">
        <v>2</v>
      </c>
      <c r="F201" s="16">
        <v>0.05</v>
      </c>
      <c r="G201" s="17">
        <v>45754</v>
      </c>
      <c r="H201" s="24">
        <v>440.95</v>
      </c>
    </row>
  </sheetData>
  <mergeCells count="1">
    <mergeCell ref="J10:K10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8B2E8A-E5E8-48CE-A89C-C038B2D5D2EE}">
  <dimension ref="A1:K201"/>
  <sheetViews>
    <sheetView topLeftCell="I37" zoomScale="141" workbookViewId="0">
      <selection activeCell="J44" sqref="J41:K52"/>
    </sheetView>
  </sheetViews>
  <sheetFormatPr defaultRowHeight="14.4" x14ac:dyDescent="0.3"/>
  <cols>
    <col min="1" max="1" width="15.6640625" bestFit="1" customWidth="1"/>
    <col min="2" max="2" width="6.88671875" bestFit="1" customWidth="1"/>
    <col min="3" max="3" width="16.33203125" bestFit="1" customWidth="1"/>
    <col min="4" max="4" width="7" bestFit="1" customWidth="1"/>
    <col min="5" max="6" width="8.33203125" bestFit="1" customWidth="1"/>
    <col min="7" max="7" width="10.6640625" bestFit="1" customWidth="1"/>
    <col min="8" max="8" width="5.6640625" bestFit="1" customWidth="1"/>
    <col min="10" max="10" width="16.109375" bestFit="1" customWidth="1"/>
    <col min="11" max="11" width="11.6640625" bestFit="1" customWidth="1"/>
  </cols>
  <sheetData>
    <row r="1" spans="1:11" x14ac:dyDescent="0.3">
      <c r="A1" s="18" t="s">
        <v>1</v>
      </c>
      <c r="B1" s="18" t="s">
        <v>2</v>
      </c>
      <c r="C1" s="18" t="s">
        <v>3</v>
      </c>
      <c r="D1" s="18" t="s">
        <v>4</v>
      </c>
      <c r="E1" s="18" t="s">
        <v>5</v>
      </c>
      <c r="F1" s="18" t="s">
        <v>6</v>
      </c>
      <c r="G1" s="18" t="s">
        <v>7</v>
      </c>
      <c r="H1" s="18" t="s">
        <v>8</v>
      </c>
      <c r="J1" s="48" t="s">
        <v>125</v>
      </c>
      <c r="K1" t="s">
        <v>127</v>
      </c>
    </row>
    <row r="2" spans="1:11" x14ac:dyDescent="0.3">
      <c r="A2" s="10" t="s">
        <v>10</v>
      </c>
      <c r="B2" s="10" t="s">
        <v>11</v>
      </c>
      <c r="C2" s="10" t="s">
        <v>12</v>
      </c>
      <c r="D2" s="19">
        <v>1036.0899999999999</v>
      </c>
      <c r="E2" s="11">
        <v>4</v>
      </c>
      <c r="F2" s="12">
        <v>0.2</v>
      </c>
      <c r="G2" s="13">
        <v>45392</v>
      </c>
      <c r="H2" s="22">
        <v>331.55</v>
      </c>
      <c r="J2" s="49" t="s">
        <v>34</v>
      </c>
      <c r="K2" s="25">
        <v>43468.33</v>
      </c>
    </row>
    <row r="3" spans="1:11" x14ac:dyDescent="0.3">
      <c r="A3" s="2" t="s">
        <v>14</v>
      </c>
      <c r="B3" s="2" t="s">
        <v>11</v>
      </c>
      <c r="C3" s="2" t="s">
        <v>15</v>
      </c>
      <c r="D3" s="20">
        <v>1101.28</v>
      </c>
      <c r="E3" s="6">
        <v>3</v>
      </c>
      <c r="F3" s="8">
        <v>0.2</v>
      </c>
      <c r="G3" s="7">
        <v>45393</v>
      </c>
      <c r="H3" s="23">
        <v>440.51</v>
      </c>
      <c r="J3" s="49" t="s">
        <v>18</v>
      </c>
      <c r="K3" s="25">
        <v>32441.64</v>
      </c>
    </row>
    <row r="4" spans="1:11" x14ac:dyDescent="0.3">
      <c r="A4" s="10" t="s">
        <v>17</v>
      </c>
      <c r="B4" s="10" t="s">
        <v>18</v>
      </c>
      <c r="C4" s="10" t="s">
        <v>12</v>
      </c>
      <c r="D4" s="19">
        <v>713.34</v>
      </c>
      <c r="E4" s="11">
        <v>17</v>
      </c>
      <c r="F4" s="12">
        <v>0</v>
      </c>
      <c r="G4" s="13">
        <v>45396</v>
      </c>
      <c r="H4" s="22">
        <v>285.33999999999997</v>
      </c>
      <c r="J4" s="49" t="s">
        <v>24</v>
      </c>
      <c r="K4" s="25">
        <v>34975.42</v>
      </c>
    </row>
    <row r="5" spans="1:11" x14ac:dyDescent="0.3">
      <c r="A5" s="2" t="s">
        <v>14</v>
      </c>
      <c r="B5" s="2" t="s">
        <v>20</v>
      </c>
      <c r="C5" s="2" t="s">
        <v>21</v>
      </c>
      <c r="D5" s="20">
        <v>760.93</v>
      </c>
      <c r="E5" s="6">
        <v>4</v>
      </c>
      <c r="F5" s="8">
        <v>0.15</v>
      </c>
      <c r="G5" s="7">
        <v>45396</v>
      </c>
      <c r="H5" s="23">
        <v>161.69999999999999</v>
      </c>
      <c r="J5" s="49" t="s">
        <v>20</v>
      </c>
      <c r="K5" s="25">
        <v>40248.79</v>
      </c>
    </row>
    <row r="6" spans="1:11" x14ac:dyDescent="0.3">
      <c r="A6" s="10" t="s">
        <v>23</v>
      </c>
      <c r="B6" s="10" t="s">
        <v>24</v>
      </c>
      <c r="C6" s="10" t="s">
        <v>12</v>
      </c>
      <c r="D6" s="19">
        <v>847</v>
      </c>
      <c r="E6" s="11">
        <v>12</v>
      </c>
      <c r="F6" s="12">
        <v>0.2</v>
      </c>
      <c r="G6" s="13">
        <v>45397</v>
      </c>
      <c r="H6" s="22">
        <v>271.04000000000002</v>
      </c>
      <c r="J6" s="49" t="s">
        <v>11</v>
      </c>
      <c r="K6" s="25">
        <v>44083.58</v>
      </c>
    </row>
    <row r="7" spans="1:11" x14ac:dyDescent="0.3">
      <c r="A7" s="2" t="s">
        <v>26</v>
      </c>
      <c r="B7" s="2" t="s">
        <v>24</v>
      </c>
      <c r="C7" s="2" t="s">
        <v>27</v>
      </c>
      <c r="D7" s="20">
        <v>965.64</v>
      </c>
      <c r="E7" s="6">
        <v>8</v>
      </c>
      <c r="F7" s="8">
        <v>0.1</v>
      </c>
      <c r="G7" s="7">
        <v>45398</v>
      </c>
      <c r="H7" s="23">
        <v>304.18</v>
      </c>
      <c r="J7" s="49" t="s">
        <v>126</v>
      </c>
      <c r="K7" s="25">
        <v>195217.76</v>
      </c>
    </row>
    <row r="8" spans="1:11" x14ac:dyDescent="0.3">
      <c r="A8" s="10" t="s">
        <v>29</v>
      </c>
      <c r="B8" s="10" t="s">
        <v>11</v>
      </c>
      <c r="C8" s="10" t="s">
        <v>21</v>
      </c>
      <c r="D8" s="19">
        <v>1317.53</v>
      </c>
      <c r="E8" s="11">
        <v>12</v>
      </c>
      <c r="F8" s="12">
        <v>0.05</v>
      </c>
      <c r="G8" s="13">
        <v>45398</v>
      </c>
      <c r="H8" s="22">
        <v>312.91000000000003</v>
      </c>
    </row>
    <row r="9" spans="1:11" x14ac:dyDescent="0.3">
      <c r="A9" s="2" t="s">
        <v>31</v>
      </c>
      <c r="B9" s="2" t="s">
        <v>18</v>
      </c>
      <c r="C9" s="2" t="s">
        <v>27</v>
      </c>
      <c r="D9" s="20">
        <v>1074.47</v>
      </c>
      <c r="E9" s="6">
        <v>6</v>
      </c>
      <c r="F9" s="8">
        <v>0.2</v>
      </c>
      <c r="G9" s="7">
        <v>45401</v>
      </c>
      <c r="H9" s="23">
        <v>300.85000000000002</v>
      </c>
    </row>
    <row r="10" spans="1:11" x14ac:dyDescent="0.3">
      <c r="A10" s="10" t="s">
        <v>33</v>
      </c>
      <c r="B10" s="10" t="s">
        <v>34</v>
      </c>
      <c r="C10" s="10" t="s">
        <v>12</v>
      </c>
      <c r="D10" s="19">
        <v>501.54</v>
      </c>
      <c r="E10" s="11">
        <v>11</v>
      </c>
      <c r="F10" s="12">
        <v>0.05</v>
      </c>
      <c r="G10" s="13">
        <v>45401</v>
      </c>
      <c r="H10" s="22">
        <v>190.59</v>
      </c>
    </row>
    <row r="11" spans="1:11" x14ac:dyDescent="0.3">
      <c r="A11" s="2" t="s">
        <v>36</v>
      </c>
      <c r="B11" s="2" t="s">
        <v>34</v>
      </c>
      <c r="C11" s="2" t="s">
        <v>15</v>
      </c>
      <c r="D11" s="20">
        <v>737.31</v>
      </c>
      <c r="E11" s="6">
        <v>2</v>
      </c>
      <c r="F11" s="8">
        <v>0.05</v>
      </c>
      <c r="G11" s="7">
        <v>45401</v>
      </c>
      <c r="H11" s="23">
        <v>350.22</v>
      </c>
    </row>
    <row r="12" spans="1:11" x14ac:dyDescent="0.3">
      <c r="A12" s="10" t="s">
        <v>38</v>
      </c>
      <c r="B12" s="10" t="s">
        <v>11</v>
      </c>
      <c r="C12" s="10" t="s">
        <v>39</v>
      </c>
      <c r="D12" s="19">
        <v>1572.82</v>
      </c>
      <c r="E12" s="11">
        <v>6</v>
      </c>
      <c r="F12" s="12">
        <v>0.05</v>
      </c>
      <c r="G12" s="13">
        <v>45402</v>
      </c>
      <c r="H12" s="22">
        <v>672.38</v>
      </c>
    </row>
    <row r="13" spans="1:11" x14ac:dyDescent="0.3">
      <c r="A13" s="2" t="s">
        <v>36</v>
      </c>
      <c r="B13" s="2" t="s">
        <v>34</v>
      </c>
      <c r="C13" s="2" t="s">
        <v>12</v>
      </c>
      <c r="D13" s="20">
        <v>1343.13</v>
      </c>
      <c r="E13" s="6">
        <v>14</v>
      </c>
      <c r="F13" s="8">
        <v>0.15</v>
      </c>
      <c r="G13" s="7">
        <v>45404</v>
      </c>
      <c r="H13" s="23">
        <v>456.66</v>
      </c>
    </row>
    <row r="14" spans="1:11" x14ac:dyDescent="0.3">
      <c r="A14" s="10" t="s">
        <v>26</v>
      </c>
      <c r="B14" s="10" t="s">
        <v>34</v>
      </c>
      <c r="C14" s="10" t="s">
        <v>12</v>
      </c>
      <c r="D14" s="19">
        <v>1191.58</v>
      </c>
      <c r="E14" s="11">
        <v>14</v>
      </c>
      <c r="F14" s="12">
        <v>0.05</v>
      </c>
      <c r="G14" s="13">
        <v>45406</v>
      </c>
      <c r="H14" s="22">
        <v>452.8</v>
      </c>
    </row>
    <row r="15" spans="1:11" x14ac:dyDescent="0.3">
      <c r="A15" s="2" t="s">
        <v>14</v>
      </c>
      <c r="B15" s="2" t="s">
        <v>11</v>
      </c>
      <c r="C15" s="2" t="s">
        <v>27</v>
      </c>
      <c r="D15" s="20">
        <v>822.28</v>
      </c>
      <c r="E15" s="6">
        <v>7</v>
      </c>
      <c r="F15" s="8">
        <v>0.05</v>
      </c>
      <c r="G15" s="7">
        <v>45406</v>
      </c>
      <c r="H15" s="23">
        <v>273.41000000000003</v>
      </c>
    </row>
    <row r="16" spans="1:11" x14ac:dyDescent="0.3">
      <c r="A16" s="10" t="s">
        <v>42</v>
      </c>
      <c r="B16" s="10" t="s">
        <v>24</v>
      </c>
      <c r="C16" s="10" t="s">
        <v>27</v>
      </c>
      <c r="D16" s="19">
        <v>521.66999999999996</v>
      </c>
      <c r="E16" s="11">
        <v>15</v>
      </c>
      <c r="F16" s="12">
        <v>0.15</v>
      </c>
      <c r="G16" s="13">
        <v>45409</v>
      </c>
      <c r="H16" s="22">
        <v>155.19999999999999</v>
      </c>
      <c r="J16" s="48" t="s">
        <v>125</v>
      </c>
      <c r="K16" t="s">
        <v>127</v>
      </c>
    </row>
    <row r="17" spans="1:11" x14ac:dyDescent="0.3">
      <c r="A17" s="2" t="s">
        <v>43</v>
      </c>
      <c r="B17" s="2" t="s">
        <v>20</v>
      </c>
      <c r="C17" s="2" t="s">
        <v>21</v>
      </c>
      <c r="D17" s="20">
        <v>1502.93</v>
      </c>
      <c r="E17" s="6">
        <v>14</v>
      </c>
      <c r="F17" s="8">
        <v>0.2</v>
      </c>
      <c r="G17" s="7">
        <v>45410</v>
      </c>
      <c r="H17" s="23">
        <v>300.58999999999997</v>
      </c>
      <c r="J17" s="49" t="s">
        <v>12</v>
      </c>
      <c r="K17" s="25">
        <v>47002.460000000006</v>
      </c>
    </row>
    <row r="18" spans="1:11" x14ac:dyDescent="0.3">
      <c r="A18" s="10" t="s">
        <v>14</v>
      </c>
      <c r="B18" s="10" t="s">
        <v>20</v>
      </c>
      <c r="C18" s="10" t="s">
        <v>12</v>
      </c>
      <c r="D18" s="19">
        <v>877.58</v>
      </c>
      <c r="E18" s="11">
        <v>10</v>
      </c>
      <c r="F18" s="12">
        <v>0.15</v>
      </c>
      <c r="G18" s="13">
        <v>45411</v>
      </c>
      <c r="H18" s="22">
        <v>298.38</v>
      </c>
      <c r="J18" s="49" t="s">
        <v>15</v>
      </c>
      <c r="K18" s="25">
        <v>41927.589999999989</v>
      </c>
    </row>
    <row r="19" spans="1:11" x14ac:dyDescent="0.3">
      <c r="A19" s="2" t="s">
        <v>45</v>
      </c>
      <c r="B19" s="2" t="s">
        <v>11</v>
      </c>
      <c r="C19" s="2" t="s">
        <v>12</v>
      </c>
      <c r="D19" s="20">
        <v>636.70000000000005</v>
      </c>
      <c r="E19" s="6">
        <v>4</v>
      </c>
      <c r="F19" s="8">
        <v>0.2</v>
      </c>
      <c r="G19" s="7">
        <v>45411</v>
      </c>
      <c r="H19" s="23">
        <v>203.74</v>
      </c>
      <c r="J19" s="49" t="s">
        <v>21</v>
      </c>
      <c r="K19" s="25">
        <v>41044.000000000007</v>
      </c>
    </row>
    <row r="20" spans="1:11" x14ac:dyDescent="0.3">
      <c r="A20" s="10" t="s">
        <v>47</v>
      </c>
      <c r="B20" s="10" t="s">
        <v>11</v>
      </c>
      <c r="C20" s="10" t="s">
        <v>12</v>
      </c>
      <c r="D20" s="19">
        <v>1506.14</v>
      </c>
      <c r="E20" s="11">
        <v>13</v>
      </c>
      <c r="F20" s="12">
        <v>0.2</v>
      </c>
      <c r="G20" s="13">
        <v>45412</v>
      </c>
      <c r="H20" s="22">
        <v>481.96</v>
      </c>
      <c r="J20" s="49" t="s">
        <v>27</v>
      </c>
      <c r="K20" s="25">
        <v>36612.89</v>
      </c>
    </row>
    <row r="21" spans="1:11" x14ac:dyDescent="0.3">
      <c r="A21" s="2" t="s">
        <v>31</v>
      </c>
      <c r="B21" s="2" t="s">
        <v>34</v>
      </c>
      <c r="C21" s="2" t="s">
        <v>21</v>
      </c>
      <c r="D21" s="20">
        <v>645.02</v>
      </c>
      <c r="E21" s="6">
        <v>4</v>
      </c>
      <c r="F21" s="8">
        <v>0</v>
      </c>
      <c r="G21" s="7">
        <v>45414</v>
      </c>
      <c r="H21" s="23">
        <v>161.26</v>
      </c>
      <c r="J21" s="49" t="s">
        <v>39</v>
      </c>
      <c r="K21" s="25">
        <v>28630.819999999992</v>
      </c>
    </row>
    <row r="22" spans="1:11" x14ac:dyDescent="0.3">
      <c r="A22" s="10" t="s">
        <v>48</v>
      </c>
      <c r="B22" s="10" t="s">
        <v>20</v>
      </c>
      <c r="C22" s="10" t="s">
        <v>15</v>
      </c>
      <c r="D22" s="19">
        <v>953.3</v>
      </c>
      <c r="E22" s="11">
        <v>11</v>
      </c>
      <c r="F22" s="12">
        <v>0</v>
      </c>
      <c r="G22" s="13">
        <v>45415</v>
      </c>
      <c r="H22" s="22">
        <v>476.65</v>
      </c>
      <c r="J22" s="49" t="s">
        <v>126</v>
      </c>
      <c r="K22" s="25">
        <v>195217.76</v>
      </c>
    </row>
    <row r="23" spans="1:11" x14ac:dyDescent="0.3">
      <c r="A23" s="2" t="s">
        <v>14</v>
      </c>
      <c r="B23" s="2" t="s">
        <v>24</v>
      </c>
      <c r="C23" s="2" t="s">
        <v>21</v>
      </c>
      <c r="D23" s="20">
        <v>388.56</v>
      </c>
      <c r="E23" s="6">
        <v>14</v>
      </c>
      <c r="F23" s="8">
        <v>0.15</v>
      </c>
      <c r="G23" s="7">
        <v>45416</v>
      </c>
      <c r="H23" s="23">
        <v>82.57</v>
      </c>
    </row>
    <row r="24" spans="1:11" x14ac:dyDescent="0.3">
      <c r="A24" s="10" t="s">
        <v>31</v>
      </c>
      <c r="B24" s="10" t="s">
        <v>11</v>
      </c>
      <c r="C24" s="10" t="s">
        <v>12</v>
      </c>
      <c r="D24" s="19">
        <v>743.17</v>
      </c>
      <c r="E24" s="11">
        <v>9</v>
      </c>
      <c r="F24" s="12">
        <v>0</v>
      </c>
      <c r="G24" s="13">
        <v>45416</v>
      </c>
      <c r="H24" s="22">
        <v>297.27</v>
      </c>
    </row>
    <row r="25" spans="1:11" x14ac:dyDescent="0.3">
      <c r="A25" s="2" t="s">
        <v>31</v>
      </c>
      <c r="B25" s="2" t="s">
        <v>34</v>
      </c>
      <c r="C25" s="2" t="s">
        <v>21</v>
      </c>
      <c r="D25" s="20">
        <v>706.37</v>
      </c>
      <c r="E25" s="6">
        <v>6</v>
      </c>
      <c r="F25" s="8">
        <v>0</v>
      </c>
      <c r="G25" s="7">
        <v>45416</v>
      </c>
      <c r="H25" s="23">
        <v>176.59</v>
      </c>
    </row>
    <row r="26" spans="1:11" x14ac:dyDescent="0.3">
      <c r="A26" s="10" t="s">
        <v>31</v>
      </c>
      <c r="B26" s="10" t="s">
        <v>34</v>
      </c>
      <c r="C26" s="10" t="s">
        <v>39</v>
      </c>
      <c r="D26" s="19">
        <v>925.31</v>
      </c>
      <c r="E26" s="11">
        <v>8</v>
      </c>
      <c r="F26" s="12">
        <v>0.1</v>
      </c>
      <c r="G26" s="13">
        <v>45418</v>
      </c>
      <c r="H26" s="22">
        <v>374.75</v>
      </c>
    </row>
    <row r="27" spans="1:11" x14ac:dyDescent="0.3">
      <c r="A27" s="2" t="s">
        <v>50</v>
      </c>
      <c r="B27" s="2" t="s">
        <v>20</v>
      </c>
      <c r="C27" s="2" t="s">
        <v>21</v>
      </c>
      <c r="D27" s="20">
        <v>1173.1199999999999</v>
      </c>
      <c r="E27" s="6">
        <v>18</v>
      </c>
      <c r="F27" s="8">
        <v>0</v>
      </c>
      <c r="G27" s="7">
        <v>45418</v>
      </c>
      <c r="H27" s="23">
        <v>293.27999999999997</v>
      </c>
      <c r="J27" s="48" t="s">
        <v>125</v>
      </c>
      <c r="K27" t="s">
        <v>127</v>
      </c>
    </row>
    <row r="28" spans="1:11" x14ac:dyDescent="0.3">
      <c r="A28" s="10" t="s">
        <v>51</v>
      </c>
      <c r="B28" s="10" t="s">
        <v>24</v>
      </c>
      <c r="C28" s="10" t="s">
        <v>27</v>
      </c>
      <c r="D28" s="19">
        <v>675.54</v>
      </c>
      <c r="E28" s="11">
        <v>17</v>
      </c>
      <c r="F28" s="12">
        <v>0</v>
      </c>
      <c r="G28" s="13">
        <v>45420</v>
      </c>
      <c r="H28" s="22">
        <v>236.44</v>
      </c>
      <c r="J28" s="49" t="s">
        <v>34</v>
      </c>
      <c r="K28" s="25">
        <v>43468.33</v>
      </c>
    </row>
    <row r="29" spans="1:11" x14ac:dyDescent="0.3">
      <c r="A29" s="2" t="s">
        <v>14</v>
      </c>
      <c r="B29" s="2" t="s">
        <v>34</v>
      </c>
      <c r="C29" s="2" t="s">
        <v>12</v>
      </c>
      <c r="D29" s="20">
        <v>939.09</v>
      </c>
      <c r="E29" s="6">
        <v>2</v>
      </c>
      <c r="F29" s="8">
        <v>0.05</v>
      </c>
      <c r="G29" s="7">
        <v>45422</v>
      </c>
      <c r="H29" s="23">
        <v>356.85</v>
      </c>
      <c r="J29" s="49" t="s">
        <v>18</v>
      </c>
      <c r="K29" s="25">
        <v>32441.64</v>
      </c>
    </row>
    <row r="30" spans="1:11" x14ac:dyDescent="0.3">
      <c r="A30" s="10" t="s">
        <v>53</v>
      </c>
      <c r="B30" s="10" t="s">
        <v>18</v>
      </c>
      <c r="C30" s="10" t="s">
        <v>39</v>
      </c>
      <c r="D30" s="19">
        <v>983.34</v>
      </c>
      <c r="E30" s="11">
        <v>19</v>
      </c>
      <c r="F30" s="12">
        <v>0.1</v>
      </c>
      <c r="G30" s="13">
        <v>45426</v>
      </c>
      <c r="H30" s="22">
        <v>398.25</v>
      </c>
      <c r="J30" s="49" t="s">
        <v>24</v>
      </c>
      <c r="K30" s="25">
        <v>34975.42</v>
      </c>
    </row>
    <row r="31" spans="1:11" x14ac:dyDescent="0.3">
      <c r="A31" s="2" t="s">
        <v>23</v>
      </c>
      <c r="B31" s="2" t="s">
        <v>20</v>
      </c>
      <c r="C31" s="2" t="s">
        <v>21</v>
      </c>
      <c r="D31" s="20">
        <v>801.21</v>
      </c>
      <c r="E31" s="6">
        <v>3</v>
      </c>
      <c r="F31" s="8">
        <v>0.2</v>
      </c>
      <c r="G31" s="7">
        <v>45426</v>
      </c>
      <c r="H31" s="23">
        <v>160.24</v>
      </c>
      <c r="J31" s="49" t="s">
        <v>20</v>
      </c>
      <c r="K31" s="25">
        <v>40248.79</v>
      </c>
    </row>
    <row r="32" spans="1:11" x14ac:dyDescent="0.3">
      <c r="A32" s="10" t="s">
        <v>55</v>
      </c>
      <c r="B32" s="10" t="s">
        <v>24</v>
      </c>
      <c r="C32" s="10" t="s">
        <v>21</v>
      </c>
      <c r="D32" s="19">
        <v>1450.71</v>
      </c>
      <c r="E32" s="11">
        <v>5</v>
      </c>
      <c r="F32" s="12">
        <v>0.1</v>
      </c>
      <c r="G32" s="13">
        <v>45427</v>
      </c>
      <c r="H32" s="22">
        <v>326.41000000000003</v>
      </c>
      <c r="J32" s="49" t="s">
        <v>11</v>
      </c>
      <c r="K32" s="25">
        <v>44083.58</v>
      </c>
    </row>
    <row r="33" spans="1:11" x14ac:dyDescent="0.3">
      <c r="A33" s="2" t="s">
        <v>56</v>
      </c>
      <c r="B33" s="2" t="s">
        <v>34</v>
      </c>
      <c r="C33" s="2" t="s">
        <v>12</v>
      </c>
      <c r="D33" s="20">
        <v>1023.21</v>
      </c>
      <c r="E33" s="6">
        <v>18</v>
      </c>
      <c r="F33" s="8">
        <v>0.05</v>
      </c>
      <c r="G33" s="7">
        <v>45428</v>
      </c>
      <c r="H33" s="23">
        <v>388.82</v>
      </c>
      <c r="J33" s="49" t="s">
        <v>126</v>
      </c>
      <c r="K33" s="25">
        <v>195217.76</v>
      </c>
    </row>
    <row r="34" spans="1:11" x14ac:dyDescent="0.3">
      <c r="A34" s="10" t="s">
        <v>47</v>
      </c>
      <c r="B34" s="10" t="s">
        <v>11</v>
      </c>
      <c r="C34" s="10" t="s">
        <v>27</v>
      </c>
      <c r="D34" s="19">
        <v>853.72</v>
      </c>
      <c r="E34" s="11">
        <v>5</v>
      </c>
      <c r="F34" s="12">
        <v>0.15</v>
      </c>
      <c r="G34" s="13">
        <v>45428</v>
      </c>
      <c r="H34" s="22">
        <v>253.98</v>
      </c>
    </row>
    <row r="35" spans="1:11" x14ac:dyDescent="0.3">
      <c r="A35" s="2" t="s">
        <v>43</v>
      </c>
      <c r="B35" s="2" t="s">
        <v>20</v>
      </c>
      <c r="C35" s="2" t="s">
        <v>21</v>
      </c>
      <c r="D35" s="20">
        <v>967.89</v>
      </c>
      <c r="E35" s="6">
        <v>10</v>
      </c>
      <c r="F35" s="8">
        <v>0.1</v>
      </c>
      <c r="G35" s="7">
        <v>45429</v>
      </c>
      <c r="H35" s="23">
        <v>217.78</v>
      </c>
    </row>
    <row r="36" spans="1:11" x14ac:dyDescent="0.3">
      <c r="A36" s="10" t="s">
        <v>53</v>
      </c>
      <c r="B36" s="10" t="s">
        <v>24</v>
      </c>
      <c r="C36" s="10" t="s">
        <v>39</v>
      </c>
      <c r="D36" s="19">
        <v>1200.9000000000001</v>
      </c>
      <c r="E36" s="11">
        <v>14</v>
      </c>
      <c r="F36" s="12">
        <v>0.05</v>
      </c>
      <c r="G36" s="13">
        <v>45429</v>
      </c>
      <c r="H36" s="22">
        <v>513.38</v>
      </c>
    </row>
    <row r="37" spans="1:11" x14ac:dyDescent="0.3">
      <c r="A37" s="2" t="s">
        <v>26</v>
      </c>
      <c r="B37" s="2" t="s">
        <v>11</v>
      </c>
      <c r="C37" s="2" t="s">
        <v>12</v>
      </c>
      <c r="D37" s="20">
        <v>472.38</v>
      </c>
      <c r="E37" s="6">
        <v>12</v>
      </c>
      <c r="F37" s="8">
        <v>0.2</v>
      </c>
      <c r="G37" s="7">
        <v>45429</v>
      </c>
      <c r="H37" s="23">
        <v>151.16</v>
      </c>
    </row>
    <row r="38" spans="1:11" x14ac:dyDescent="0.3">
      <c r="A38" s="10" t="s">
        <v>55</v>
      </c>
      <c r="B38" s="10" t="s">
        <v>18</v>
      </c>
      <c r="C38" s="10" t="s">
        <v>39</v>
      </c>
      <c r="D38" s="19">
        <v>840.92</v>
      </c>
      <c r="E38" s="11">
        <v>9</v>
      </c>
      <c r="F38" s="12">
        <v>0.05</v>
      </c>
      <c r="G38" s="13">
        <v>45429</v>
      </c>
      <c r="H38" s="22">
        <v>359.49</v>
      </c>
    </row>
    <row r="39" spans="1:11" x14ac:dyDescent="0.3">
      <c r="A39" s="2" t="s">
        <v>48</v>
      </c>
      <c r="B39" s="2" t="s">
        <v>34</v>
      </c>
      <c r="C39" s="2" t="s">
        <v>27</v>
      </c>
      <c r="D39" s="20">
        <v>1410.06</v>
      </c>
      <c r="E39" s="6">
        <v>11</v>
      </c>
      <c r="F39" s="8">
        <v>0.05</v>
      </c>
      <c r="G39" s="7">
        <v>45434</v>
      </c>
      <c r="H39" s="23">
        <v>468.84</v>
      </c>
    </row>
    <row r="40" spans="1:11" x14ac:dyDescent="0.3">
      <c r="A40" s="10" t="s">
        <v>59</v>
      </c>
      <c r="B40" s="10" t="s">
        <v>34</v>
      </c>
      <c r="C40" s="10" t="s">
        <v>27</v>
      </c>
      <c r="D40" s="19">
        <v>773.09</v>
      </c>
      <c r="E40" s="11">
        <v>13</v>
      </c>
      <c r="F40" s="12">
        <v>0.15</v>
      </c>
      <c r="G40" s="13">
        <v>45434</v>
      </c>
      <c r="H40" s="22">
        <v>229.99</v>
      </c>
    </row>
    <row r="41" spans="1:11" x14ac:dyDescent="0.3">
      <c r="A41" s="2" t="s">
        <v>61</v>
      </c>
      <c r="B41" s="2" t="s">
        <v>18</v>
      </c>
      <c r="C41" s="2" t="s">
        <v>12</v>
      </c>
      <c r="D41" s="20">
        <v>580.42999999999995</v>
      </c>
      <c r="E41" s="6">
        <v>19</v>
      </c>
      <c r="F41" s="8">
        <v>0.15</v>
      </c>
      <c r="G41" s="7">
        <v>45435</v>
      </c>
      <c r="H41" s="23">
        <v>197.35</v>
      </c>
      <c r="J41" s="48" t="s">
        <v>125</v>
      </c>
      <c r="K41" t="s">
        <v>127</v>
      </c>
    </row>
    <row r="42" spans="1:11" x14ac:dyDescent="0.3">
      <c r="A42" s="10" t="s">
        <v>42</v>
      </c>
      <c r="B42" s="10" t="s">
        <v>20</v>
      </c>
      <c r="C42" s="10" t="s">
        <v>12</v>
      </c>
      <c r="D42" s="19">
        <v>1151.21</v>
      </c>
      <c r="E42" s="11">
        <v>15</v>
      </c>
      <c r="F42" s="12">
        <v>0.1</v>
      </c>
      <c r="G42" s="13">
        <v>45445</v>
      </c>
      <c r="H42" s="22">
        <v>414.44</v>
      </c>
      <c r="J42" s="49" t="s">
        <v>55</v>
      </c>
      <c r="K42" s="25">
        <v>11915.829999999998</v>
      </c>
    </row>
    <row r="43" spans="1:11" x14ac:dyDescent="0.3">
      <c r="A43" s="2" t="s">
        <v>23</v>
      </c>
      <c r="B43" s="2" t="s">
        <v>34</v>
      </c>
      <c r="C43" s="2" t="s">
        <v>39</v>
      </c>
      <c r="D43" s="20">
        <v>1025.98</v>
      </c>
      <c r="E43" s="6">
        <v>5</v>
      </c>
      <c r="F43" s="8">
        <v>0.2</v>
      </c>
      <c r="G43" s="7">
        <v>45447</v>
      </c>
      <c r="H43" s="23">
        <v>369.35</v>
      </c>
      <c r="J43" s="49" t="s">
        <v>38</v>
      </c>
      <c r="K43" s="25">
        <v>11398.32</v>
      </c>
    </row>
    <row r="44" spans="1:11" x14ac:dyDescent="0.3">
      <c r="A44" s="10" t="s">
        <v>56</v>
      </c>
      <c r="B44" s="10" t="s">
        <v>18</v>
      </c>
      <c r="C44" s="10" t="s">
        <v>39</v>
      </c>
      <c r="D44" s="19">
        <v>556.41999999999996</v>
      </c>
      <c r="E44" s="11">
        <v>11</v>
      </c>
      <c r="F44" s="12">
        <v>0.15</v>
      </c>
      <c r="G44" s="13">
        <v>45447</v>
      </c>
      <c r="H44" s="22">
        <v>212.83</v>
      </c>
      <c r="J44" s="49" t="s">
        <v>61</v>
      </c>
      <c r="K44" s="25">
        <v>8543.9699999999993</v>
      </c>
    </row>
    <row r="45" spans="1:11" x14ac:dyDescent="0.3">
      <c r="A45" s="2" t="s">
        <v>23</v>
      </c>
      <c r="B45" s="2" t="s">
        <v>34</v>
      </c>
      <c r="C45" s="2" t="s">
        <v>12</v>
      </c>
      <c r="D45" s="20">
        <v>840.85</v>
      </c>
      <c r="E45" s="6">
        <v>19</v>
      </c>
      <c r="F45" s="8">
        <v>0.1</v>
      </c>
      <c r="G45" s="7">
        <v>45448</v>
      </c>
      <c r="H45" s="23">
        <v>302.70999999999998</v>
      </c>
      <c r="J45" s="49" t="s">
        <v>23</v>
      </c>
      <c r="K45" s="25">
        <v>20774.739999999998</v>
      </c>
    </row>
    <row r="46" spans="1:11" x14ac:dyDescent="0.3">
      <c r="A46" s="10" t="s">
        <v>61</v>
      </c>
      <c r="B46" s="10" t="s">
        <v>24</v>
      </c>
      <c r="C46" s="10" t="s">
        <v>27</v>
      </c>
      <c r="D46" s="19">
        <v>1227.25</v>
      </c>
      <c r="E46" s="11">
        <v>12</v>
      </c>
      <c r="F46" s="12">
        <v>0.15</v>
      </c>
      <c r="G46" s="13">
        <v>45448</v>
      </c>
      <c r="H46" s="22">
        <v>365.11</v>
      </c>
      <c r="J46" s="49" t="s">
        <v>29</v>
      </c>
      <c r="K46" s="25">
        <v>9970.1999999999989</v>
      </c>
    </row>
    <row r="47" spans="1:11" x14ac:dyDescent="0.3">
      <c r="A47" s="2" t="s">
        <v>62</v>
      </c>
      <c r="B47" s="2" t="s">
        <v>34</v>
      </c>
      <c r="C47" s="2" t="s">
        <v>21</v>
      </c>
      <c r="D47" s="20">
        <v>856.7</v>
      </c>
      <c r="E47" s="6">
        <v>2</v>
      </c>
      <c r="F47" s="8">
        <v>0</v>
      </c>
      <c r="G47" s="7">
        <v>45449</v>
      </c>
      <c r="H47" s="23">
        <v>214.18</v>
      </c>
      <c r="J47" s="49" t="s">
        <v>48</v>
      </c>
      <c r="K47" s="25">
        <v>8090.12</v>
      </c>
    </row>
    <row r="48" spans="1:11" x14ac:dyDescent="0.3">
      <c r="A48" s="10" t="s">
        <v>56</v>
      </c>
      <c r="B48" s="10" t="s">
        <v>34</v>
      </c>
      <c r="C48" s="10" t="s">
        <v>39</v>
      </c>
      <c r="D48" s="19">
        <v>1225.42</v>
      </c>
      <c r="E48" s="11">
        <v>8</v>
      </c>
      <c r="F48" s="12">
        <v>0.15</v>
      </c>
      <c r="G48" s="13">
        <v>45449</v>
      </c>
      <c r="H48" s="22">
        <v>468.72</v>
      </c>
      <c r="J48" s="49" t="s">
        <v>45</v>
      </c>
      <c r="K48" s="25">
        <v>8635.9500000000007</v>
      </c>
    </row>
    <row r="49" spans="1:11" x14ac:dyDescent="0.3">
      <c r="A49" s="2" t="s">
        <v>31</v>
      </c>
      <c r="B49" s="2" t="s">
        <v>24</v>
      </c>
      <c r="C49" s="2" t="s">
        <v>39</v>
      </c>
      <c r="D49" s="20">
        <v>1001.57</v>
      </c>
      <c r="E49" s="6">
        <v>12</v>
      </c>
      <c r="F49" s="8">
        <v>0</v>
      </c>
      <c r="G49" s="7">
        <v>45450</v>
      </c>
      <c r="H49" s="23">
        <v>450.71</v>
      </c>
      <c r="J49" s="49" t="s">
        <v>31</v>
      </c>
      <c r="K49" s="25">
        <v>17143.289999999997</v>
      </c>
    </row>
    <row r="50" spans="1:11" x14ac:dyDescent="0.3">
      <c r="A50" s="10" t="s">
        <v>26</v>
      </c>
      <c r="B50" s="10" t="s">
        <v>18</v>
      </c>
      <c r="C50" s="10" t="s">
        <v>27</v>
      </c>
      <c r="D50" s="19">
        <v>1186.8499999999999</v>
      </c>
      <c r="E50" s="11">
        <v>19</v>
      </c>
      <c r="F50" s="12">
        <v>0.2</v>
      </c>
      <c r="G50" s="13">
        <v>45451</v>
      </c>
      <c r="H50" s="22">
        <v>332.32</v>
      </c>
      <c r="J50" s="49" t="s">
        <v>26</v>
      </c>
      <c r="K50" s="25">
        <v>7881.9</v>
      </c>
    </row>
    <row r="51" spans="1:11" x14ac:dyDescent="0.3">
      <c r="A51" s="2" t="s">
        <v>51</v>
      </c>
      <c r="B51" s="2" t="s">
        <v>20</v>
      </c>
      <c r="C51" s="2" t="s">
        <v>21</v>
      </c>
      <c r="D51" s="20">
        <v>775.45</v>
      </c>
      <c r="E51" s="6">
        <v>6</v>
      </c>
      <c r="F51" s="8">
        <v>0.1</v>
      </c>
      <c r="G51" s="7">
        <v>45457</v>
      </c>
      <c r="H51" s="23">
        <v>174.48</v>
      </c>
      <c r="J51" s="49" t="s">
        <v>14</v>
      </c>
      <c r="K51" s="25">
        <v>8331.8499999999985</v>
      </c>
    </row>
    <row r="52" spans="1:11" x14ac:dyDescent="0.3">
      <c r="A52" s="10" t="s">
        <v>33</v>
      </c>
      <c r="B52" s="10" t="s">
        <v>20</v>
      </c>
      <c r="C52" s="10" t="s">
        <v>21</v>
      </c>
      <c r="D52" s="19">
        <v>1021.47</v>
      </c>
      <c r="E52" s="11">
        <v>6</v>
      </c>
      <c r="F52" s="12">
        <v>0.05</v>
      </c>
      <c r="G52" s="13">
        <v>45461</v>
      </c>
      <c r="H52" s="22">
        <v>242.6</v>
      </c>
      <c r="J52" s="49" t="s">
        <v>126</v>
      </c>
      <c r="K52" s="25">
        <v>112686.16999999998</v>
      </c>
    </row>
    <row r="53" spans="1:11" x14ac:dyDescent="0.3">
      <c r="A53" s="2" t="s">
        <v>23</v>
      </c>
      <c r="B53" s="2" t="s">
        <v>20</v>
      </c>
      <c r="C53" s="2" t="s">
        <v>15</v>
      </c>
      <c r="D53" s="20">
        <v>1226.6199999999999</v>
      </c>
      <c r="E53" s="6">
        <v>7</v>
      </c>
      <c r="F53" s="8">
        <v>0.1</v>
      </c>
      <c r="G53" s="7">
        <v>45463</v>
      </c>
      <c r="H53" s="23">
        <v>551.98</v>
      </c>
    </row>
    <row r="54" spans="1:11" x14ac:dyDescent="0.3">
      <c r="A54" s="10" t="s">
        <v>64</v>
      </c>
      <c r="B54" s="10" t="s">
        <v>20</v>
      </c>
      <c r="C54" s="10" t="s">
        <v>27</v>
      </c>
      <c r="D54" s="19">
        <v>1086.93</v>
      </c>
      <c r="E54" s="11">
        <v>2</v>
      </c>
      <c r="F54" s="12">
        <v>0</v>
      </c>
      <c r="G54" s="13">
        <v>45464</v>
      </c>
      <c r="H54" s="22">
        <v>380.43</v>
      </c>
    </row>
    <row r="55" spans="1:11" x14ac:dyDescent="0.3">
      <c r="A55" s="2" t="s">
        <v>48</v>
      </c>
      <c r="B55" s="2" t="s">
        <v>11</v>
      </c>
      <c r="C55" s="2" t="s">
        <v>12</v>
      </c>
      <c r="D55" s="20">
        <v>942.9</v>
      </c>
      <c r="E55" s="6">
        <v>18</v>
      </c>
      <c r="F55" s="8">
        <v>0.1</v>
      </c>
      <c r="G55" s="7">
        <v>45466</v>
      </c>
      <c r="H55" s="23">
        <v>339.44</v>
      </c>
    </row>
    <row r="56" spans="1:11" x14ac:dyDescent="0.3">
      <c r="A56" s="10" t="s">
        <v>38</v>
      </c>
      <c r="B56" s="10" t="s">
        <v>24</v>
      </c>
      <c r="C56" s="10" t="s">
        <v>21</v>
      </c>
      <c r="D56" s="19">
        <v>818.8</v>
      </c>
      <c r="E56" s="11">
        <v>15</v>
      </c>
      <c r="F56" s="12">
        <v>0.15</v>
      </c>
      <c r="G56" s="13">
        <v>45468</v>
      </c>
      <c r="H56" s="22">
        <v>173.99</v>
      </c>
    </row>
    <row r="57" spans="1:11" x14ac:dyDescent="0.3">
      <c r="A57" s="2" t="s">
        <v>14</v>
      </c>
      <c r="B57" s="2" t="s">
        <v>20</v>
      </c>
      <c r="C57" s="2" t="s">
        <v>27</v>
      </c>
      <c r="D57" s="20">
        <v>919.04</v>
      </c>
      <c r="E57" s="6">
        <v>10</v>
      </c>
      <c r="F57" s="8">
        <v>0.2</v>
      </c>
      <c r="G57" s="7">
        <v>45468</v>
      </c>
      <c r="H57" s="23">
        <v>257.33</v>
      </c>
    </row>
    <row r="58" spans="1:11" x14ac:dyDescent="0.3">
      <c r="A58" s="10" t="s">
        <v>66</v>
      </c>
      <c r="B58" s="10" t="s">
        <v>34</v>
      </c>
      <c r="C58" s="10" t="s">
        <v>12</v>
      </c>
      <c r="D58" s="19">
        <v>973.26</v>
      </c>
      <c r="E58" s="11">
        <v>11</v>
      </c>
      <c r="F58" s="12">
        <v>0</v>
      </c>
      <c r="G58" s="13">
        <v>45470</v>
      </c>
      <c r="H58" s="22">
        <v>389.3</v>
      </c>
    </row>
    <row r="59" spans="1:11" x14ac:dyDescent="0.3">
      <c r="A59" s="2" t="s">
        <v>64</v>
      </c>
      <c r="B59" s="2" t="s">
        <v>24</v>
      </c>
      <c r="C59" s="2" t="s">
        <v>21</v>
      </c>
      <c r="D59" s="20">
        <v>741.61</v>
      </c>
      <c r="E59" s="6">
        <v>1</v>
      </c>
      <c r="F59" s="8">
        <v>0.2</v>
      </c>
      <c r="G59" s="7">
        <v>45471</v>
      </c>
      <c r="H59" s="23">
        <v>148.32</v>
      </c>
    </row>
    <row r="60" spans="1:11" x14ac:dyDescent="0.3">
      <c r="A60" s="10" t="s">
        <v>38</v>
      </c>
      <c r="B60" s="10" t="s">
        <v>24</v>
      </c>
      <c r="C60" s="10" t="s">
        <v>12</v>
      </c>
      <c r="D60" s="19">
        <v>1248.82</v>
      </c>
      <c r="E60" s="11">
        <v>2</v>
      </c>
      <c r="F60" s="12">
        <v>0.1</v>
      </c>
      <c r="G60" s="13">
        <v>45473</v>
      </c>
      <c r="H60" s="22">
        <v>449.58</v>
      </c>
    </row>
    <row r="61" spans="1:11" x14ac:dyDescent="0.3">
      <c r="A61" s="2" t="s">
        <v>59</v>
      </c>
      <c r="B61" s="2" t="s">
        <v>11</v>
      </c>
      <c r="C61" s="2" t="s">
        <v>15</v>
      </c>
      <c r="D61" s="20">
        <v>1360.36</v>
      </c>
      <c r="E61" s="6">
        <v>17</v>
      </c>
      <c r="F61" s="8">
        <v>0</v>
      </c>
      <c r="G61" s="7">
        <v>45473</v>
      </c>
      <c r="H61" s="23">
        <v>680.18</v>
      </c>
    </row>
    <row r="62" spans="1:11" x14ac:dyDescent="0.3">
      <c r="A62" s="10" t="s">
        <v>31</v>
      </c>
      <c r="B62" s="10" t="s">
        <v>18</v>
      </c>
      <c r="C62" s="10" t="s">
        <v>12</v>
      </c>
      <c r="D62" s="19">
        <v>1383.3</v>
      </c>
      <c r="E62" s="11">
        <v>8</v>
      </c>
      <c r="F62" s="12">
        <v>0.1</v>
      </c>
      <c r="G62" s="13">
        <v>45478</v>
      </c>
      <c r="H62" s="22">
        <v>497.99</v>
      </c>
    </row>
    <row r="63" spans="1:11" x14ac:dyDescent="0.3">
      <c r="A63" s="2" t="s">
        <v>55</v>
      </c>
      <c r="B63" s="2" t="s">
        <v>34</v>
      </c>
      <c r="C63" s="2" t="s">
        <v>39</v>
      </c>
      <c r="D63" s="20">
        <v>488.99</v>
      </c>
      <c r="E63" s="6">
        <v>9</v>
      </c>
      <c r="F63" s="8">
        <v>0</v>
      </c>
      <c r="G63" s="7">
        <v>45479</v>
      </c>
      <c r="H63" s="23">
        <v>220.05</v>
      </c>
    </row>
    <row r="64" spans="1:11" x14ac:dyDescent="0.3">
      <c r="A64" s="10" t="s">
        <v>31</v>
      </c>
      <c r="B64" s="10" t="s">
        <v>18</v>
      </c>
      <c r="C64" s="10" t="s">
        <v>27</v>
      </c>
      <c r="D64" s="19">
        <v>933.71</v>
      </c>
      <c r="E64" s="11">
        <v>17</v>
      </c>
      <c r="F64" s="12">
        <v>0.1</v>
      </c>
      <c r="G64" s="13">
        <v>45481</v>
      </c>
      <c r="H64" s="22">
        <v>294.12</v>
      </c>
    </row>
    <row r="65" spans="1:8" x14ac:dyDescent="0.3">
      <c r="A65" s="2" t="s">
        <v>10</v>
      </c>
      <c r="B65" s="2" t="s">
        <v>11</v>
      </c>
      <c r="C65" s="2" t="s">
        <v>21</v>
      </c>
      <c r="D65" s="20">
        <v>1005.53</v>
      </c>
      <c r="E65" s="6">
        <v>17</v>
      </c>
      <c r="F65" s="8">
        <v>0.2</v>
      </c>
      <c r="G65" s="7">
        <v>45481</v>
      </c>
      <c r="H65" s="23">
        <v>201.11</v>
      </c>
    </row>
    <row r="66" spans="1:8" x14ac:dyDescent="0.3">
      <c r="A66" s="10" t="s">
        <v>61</v>
      </c>
      <c r="B66" s="10" t="s">
        <v>20</v>
      </c>
      <c r="C66" s="10" t="s">
        <v>21</v>
      </c>
      <c r="D66" s="19">
        <v>1100.0999999999999</v>
      </c>
      <c r="E66" s="11">
        <v>5</v>
      </c>
      <c r="F66" s="12">
        <v>0.05</v>
      </c>
      <c r="G66" s="13">
        <v>45482</v>
      </c>
      <c r="H66" s="22">
        <v>261.27</v>
      </c>
    </row>
    <row r="67" spans="1:8" x14ac:dyDescent="0.3">
      <c r="A67" s="2" t="s">
        <v>23</v>
      </c>
      <c r="B67" s="2" t="s">
        <v>24</v>
      </c>
      <c r="C67" s="2" t="s">
        <v>27</v>
      </c>
      <c r="D67" s="20">
        <v>1034.7</v>
      </c>
      <c r="E67" s="6">
        <v>15</v>
      </c>
      <c r="F67" s="8">
        <v>0.15</v>
      </c>
      <c r="G67" s="7">
        <v>45487</v>
      </c>
      <c r="H67" s="23">
        <v>307.82</v>
      </c>
    </row>
    <row r="68" spans="1:8" x14ac:dyDescent="0.3">
      <c r="A68" s="10" t="s">
        <v>31</v>
      </c>
      <c r="B68" s="10" t="s">
        <v>20</v>
      </c>
      <c r="C68" s="10" t="s">
        <v>12</v>
      </c>
      <c r="D68" s="19">
        <v>876.44</v>
      </c>
      <c r="E68" s="11">
        <v>12</v>
      </c>
      <c r="F68" s="12">
        <v>0.05</v>
      </c>
      <c r="G68" s="13">
        <v>45488</v>
      </c>
      <c r="H68" s="22">
        <v>333.05</v>
      </c>
    </row>
    <row r="69" spans="1:8" x14ac:dyDescent="0.3">
      <c r="A69" s="2" t="s">
        <v>55</v>
      </c>
      <c r="B69" s="2" t="s">
        <v>11</v>
      </c>
      <c r="C69" s="2" t="s">
        <v>27</v>
      </c>
      <c r="D69" s="20">
        <v>1371.34</v>
      </c>
      <c r="E69" s="6">
        <v>5</v>
      </c>
      <c r="F69" s="8">
        <v>0.05</v>
      </c>
      <c r="G69" s="7">
        <v>45488</v>
      </c>
      <c r="H69" s="23">
        <v>455.97</v>
      </c>
    </row>
    <row r="70" spans="1:8" x14ac:dyDescent="0.3">
      <c r="A70" s="10" t="s">
        <v>47</v>
      </c>
      <c r="B70" s="10" t="s">
        <v>24</v>
      </c>
      <c r="C70" s="10" t="s">
        <v>21</v>
      </c>
      <c r="D70" s="19">
        <v>1020.26</v>
      </c>
      <c r="E70" s="11">
        <v>11</v>
      </c>
      <c r="F70" s="12">
        <v>0.05</v>
      </c>
      <c r="G70" s="13">
        <v>45494</v>
      </c>
      <c r="H70" s="22">
        <v>242.31</v>
      </c>
    </row>
    <row r="71" spans="1:8" x14ac:dyDescent="0.3">
      <c r="A71" s="2" t="s">
        <v>10</v>
      </c>
      <c r="B71" s="2" t="s">
        <v>34</v>
      </c>
      <c r="C71" s="2" t="s">
        <v>39</v>
      </c>
      <c r="D71" s="20">
        <v>804.81</v>
      </c>
      <c r="E71" s="6">
        <v>1</v>
      </c>
      <c r="F71" s="8">
        <v>0.05</v>
      </c>
      <c r="G71" s="7">
        <v>45502</v>
      </c>
      <c r="H71" s="23">
        <v>344.06</v>
      </c>
    </row>
    <row r="72" spans="1:8" x14ac:dyDescent="0.3">
      <c r="A72" s="10" t="s">
        <v>55</v>
      </c>
      <c r="B72" s="10" t="s">
        <v>34</v>
      </c>
      <c r="C72" s="10" t="s">
        <v>21</v>
      </c>
      <c r="D72" s="19">
        <v>608.66</v>
      </c>
      <c r="E72" s="11">
        <v>1</v>
      </c>
      <c r="F72" s="12">
        <v>0.05</v>
      </c>
      <c r="G72" s="13">
        <v>45503</v>
      </c>
      <c r="H72" s="22">
        <v>144.56</v>
      </c>
    </row>
    <row r="73" spans="1:8" x14ac:dyDescent="0.3">
      <c r="A73" s="2" t="s">
        <v>69</v>
      </c>
      <c r="B73" s="2" t="s">
        <v>20</v>
      </c>
      <c r="C73" s="2" t="s">
        <v>39</v>
      </c>
      <c r="D73" s="20">
        <v>981.2</v>
      </c>
      <c r="E73" s="6">
        <v>19</v>
      </c>
      <c r="F73" s="8">
        <v>0</v>
      </c>
      <c r="G73" s="7">
        <v>45504</v>
      </c>
      <c r="H73" s="23">
        <v>441.54</v>
      </c>
    </row>
    <row r="74" spans="1:8" x14ac:dyDescent="0.3">
      <c r="A74" s="10" t="s">
        <v>55</v>
      </c>
      <c r="B74" s="10" t="s">
        <v>18</v>
      </c>
      <c r="C74" s="10" t="s">
        <v>21</v>
      </c>
      <c r="D74" s="19">
        <v>539.77</v>
      </c>
      <c r="E74" s="11">
        <v>10</v>
      </c>
      <c r="F74" s="12">
        <v>0.15</v>
      </c>
      <c r="G74" s="13">
        <v>45509</v>
      </c>
      <c r="H74" s="22">
        <v>114.7</v>
      </c>
    </row>
    <row r="75" spans="1:8" x14ac:dyDescent="0.3">
      <c r="A75" s="2" t="s">
        <v>71</v>
      </c>
      <c r="B75" s="2" t="s">
        <v>20</v>
      </c>
      <c r="C75" s="2" t="s">
        <v>12</v>
      </c>
      <c r="D75" s="20">
        <v>804.45</v>
      </c>
      <c r="E75" s="6">
        <v>5</v>
      </c>
      <c r="F75" s="8">
        <v>0.2</v>
      </c>
      <c r="G75" s="7">
        <v>45509</v>
      </c>
      <c r="H75" s="23">
        <v>257.42</v>
      </c>
    </row>
    <row r="76" spans="1:8" x14ac:dyDescent="0.3">
      <c r="A76" s="10" t="s">
        <v>38</v>
      </c>
      <c r="B76" s="10" t="s">
        <v>11</v>
      </c>
      <c r="C76" s="10" t="s">
        <v>21</v>
      </c>
      <c r="D76" s="19">
        <v>1526.6</v>
      </c>
      <c r="E76" s="11">
        <v>13</v>
      </c>
      <c r="F76" s="12">
        <v>0.2</v>
      </c>
      <c r="G76" s="13">
        <v>45512</v>
      </c>
      <c r="H76" s="22">
        <v>305.32</v>
      </c>
    </row>
    <row r="77" spans="1:8" x14ac:dyDescent="0.3">
      <c r="A77" s="2" t="s">
        <v>29</v>
      </c>
      <c r="B77" s="2" t="s">
        <v>11</v>
      </c>
      <c r="C77" s="2" t="s">
        <v>21</v>
      </c>
      <c r="D77" s="20">
        <v>1215.26</v>
      </c>
      <c r="E77" s="6">
        <v>5</v>
      </c>
      <c r="F77" s="8">
        <v>0.15</v>
      </c>
      <c r="G77" s="7">
        <v>45513</v>
      </c>
      <c r="H77" s="23">
        <v>258.24</v>
      </c>
    </row>
    <row r="78" spans="1:8" x14ac:dyDescent="0.3">
      <c r="A78" s="10" t="s">
        <v>53</v>
      </c>
      <c r="B78" s="10" t="s">
        <v>34</v>
      </c>
      <c r="C78" s="10" t="s">
        <v>27</v>
      </c>
      <c r="D78" s="19">
        <v>1261.3399999999999</v>
      </c>
      <c r="E78" s="11">
        <v>3</v>
      </c>
      <c r="F78" s="12">
        <v>0</v>
      </c>
      <c r="G78" s="13">
        <v>45519</v>
      </c>
      <c r="H78" s="22">
        <v>441.47</v>
      </c>
    </row>
    <row r="79" spans="1:8" x14ac:dyDescent="0.3">
      <c r="A79" s="2" t="s">
        <v>45</v>
      </c>
      <c r="B79" s="2" t="s">
        <v>24</v>
      </c>
      <c r="C79" s="2" t="s">
        <v>27</v>
      </c>
      <c r="D79" s="20">
        <v>518.07000000000005</v>
      </c>
      <c r="E79" s="6">
        <v>7</v>
      </c>
      <c r="F79" s="8">
        <v>0.05</v>
      </c>
      <c r="G79" s="7">
        <v>45522</v>
      </c>
      <c r="H79" s="23">
        <v>172.26</v>
      </c>
    </row>
    <row r="80" spans="1:8" x14ac:dyDescent="0.3">
      <c r="A80" s="10" t="s">
        <v>29</v>
      </c>
      <c r="B80" s="10" t="s">
        <v>11</v>
      </c>
      <c r="C80" s="10" t="s">
        <v>39</v>
      </c>
      <c r="D80" s="19">
        <v>1111.3399999999999</v>
      </c>
      <c r="E80" s="11">
        <v>1</v>
      </c>
      <c r="F80" s="12">
        <v>0</v>
      </c>
      <c r="G80" s="13">
        <v>45523</v>
      </c>
      <c r="H80" s="22">
        <v>500.1</v>
      </c>
    </row>
    <row r="81" spans="1:8" x14ac:dyDescent="0.3">
      <c r="A81" s="2" t="s">
        <v>31</v>
      </c>
      <c r="B81" s="2" t="s">
        <v>18</v>
      </c>
      <c r="C81" s="2" t="s">
        <v>15</v>
      </c>
      <c r="D81" s="20">
        <v>1291.47</v>
      </c>
      <c r="E81" s="6">
        <v>18</v>
      </c>
      <c r="F81" s="8">
        <v>0.1</v>
      </c>
      <c r="G81" s="7">
        <v>45526</v>
      </c>
      <c r="H81" s="23">
        <v>581.16</v>
      </c>
    </row>
    <row r="82" spans="1:8" x14ac:dyDescent="0.3">
      <c r="A82" s="10" t="s">
        <v>55</v>
      </c>
      <c r="B82" s="10" t="s">
        <v>24</v>
      </c>
      <c r="C82" s="10" t="s">
        <v>12</v>
      </c>
      <c r="D82" s="19">
        <v>679.71</v>
      </c>
      <c r="E82" s="11">
        <v>19</v>
      </c>
      <c r="F82" s="12">
        <v>0</v>
      </c>
      <c r="G82" s="13">
        <v>45534</v>
      </c>
      <c r="H82" s="22">
        <v>271.88</v>
      </c>
    </row>
    <row r="83" spans="1:8" x14ac:dyDescent="0.3">
      <c r="A83" s="2" t="s">
        <v>33</v>
      </c>
      <c r="B83" s="2" t="s">
        <v>18</v>
      </c>
      <c r="C83" s="2" t="s">
        <v>27</v>
      </c>
      <c r="D83" s="20">
        <v>1143.69</v>
      </c>
      <c r="E83" s="6">
        <v>17</v>
      </c>
      <c r="F83" s="8">
        <v>0</v>
      </c>
      <c r="G83" s="7">
        <v>45534</v>
      </c>
      <c r="H83" s="23">
        <v>400.29</v>
      </c>
    </row>
    <row r="84" spans="1:8" x14ac:dyDescent="0.3">
      <c r="A84" s="10" t="s">
        <v>50</v>
      </c>
      <c r="B84" s="10" t="s">
        <v>34</v>
      </c>
      <c r="C84" s="10" t="s">
        <v>21</v>
      </c>
      <c r="D84" s="19">
        <v>790.08</v>
      </c>
      <c r="E84" s="11">
        <v>7</v>
      </c>
      <c r="F84" s="12">
        <v>0.1</v>
      </c>
      <c r="G84" s="13">
        <v>45536</v>
      </c>
      <c r="H84" s="22">
        <v>177.77</v>
      </c>
    </row>
    <row r="85" spans="1:8" x14ac:dyDescent="0.3">
      <c r="A85" s="2" t="s">
        <v>48</v>
      </c>
      <c r="B85" s="2" t="s">
        <v>34</v>
      </c>
      <c r="C85" s="2" t="s">
        <v>12</v>
      </c>
      <c r="D85" s="20">
        <v>1070.68</v>
      </c>
      <c r="E85" s="6">
        <v>7</v>
      </c>
      <c r="F85" s="8">
        <v>0.05</v>
      </c>
      <c r="G85" s="7">
        <v>45536</v>
      </c>
      <c r="H85" s="23">
        <v>406.86</v>
      </c>
    </row>
    <row r="86" spans="1:8" x14ac:dyDescent="0.3">
      <c r="A86" s="10" t="s">
        <v>36</v>
      </c>
      <c r="B86" s="10" t="s">
        <v>11</v>
      </c>
      <c r="C86" s="10" t="s">
        <v>15</v>
      </c>
      <c r="D86" s="19">
        <v>1168.8900000000001</v>
      </c>
      <c r="E86" s="11">
        <v>4</v>
      </c>
      <c r="F86" s="12">
        <v>0.1</v>
      </c>
      <c r="G86" s="13">
        <v>45544</v>
      </c>
      <c r="H86" s="22">
        <v>526</v>
      </c>
    </row>
    <row r="87" spans="1:8" x14ac:dyDescent="0.3">
      <c r="A87" s="2" t="s">
        <v>10</v>
      </c>
      <c r="B87" s="2" t="s">
        <v>20</v>
      </c>
      <c r="C87" s="2" t="s">
        <v>21</v>
      </c>
      <c r="D87" s="20">
        <v>1335.87</v>
      </c>
      <c r="E87" s="6">
        <v>17</v>
      </c>
      <c r="F87" s="8">
        <v>0</v>
      </c>
      <c r="G87" s="7">
        <v>45544</v>
      </c>
      <c r="H87" s="23">
        <v>333.97</v>
      </c>
    </row>
    <row r="88" spans="1:8" x14ac:dyDescent="0.3">
      <c r="A88" s="10" t="s">
        <v>55</v>
      </c>
      <c r="B88" s="10" t="s">
        <v>18</v>
      </c>
      <c r="C88" s="10" t="s">
        <v>27</v>
      </c>
      <c r="D88" s="19">
        <v>873.7</v>
      </c>
      <c r="E88" s="11">
        <v>9</v>
      </c>
      <c r="F88" s="12">
        <v>0</v>
      </c>
      <c r="G88" s="13">
        <v>45546</v>
      </c>
      <c r="H88" s="22">
        <v>305.8</v>
      </c>
    </row>
    <row r="89" spans="1:8" x14ac:dyDescent="0.3">
      <c r="A89" s="2" t="s">
        <v>64</v>
      </c>
      <c r="B89" s="2" t="s">
        <v>11</v>
      </c>
      <c r="C89" s="2" t="s">
        <v>39</v>
      </c>
      <c r="D89" s="20">
        <v>1443.98</v>
      </c>
      <c r="E89" s="6">
        <v>19</v>
      </c>
      <c r="F89" s="8">
        <v>0</v>
      </c>
      <c r="G89" s="7">
        <v>45547</v>
      </c>
      <c r="H89" s="23">
        <v>649.79</v>
      </c>
    </row>
    <row r="90" spans="1:8" x14ac:dyDescent="0.3">
      <c r="A90" s="10" t="s">
        <v>23</v>
      </c>
      <c r="B90" s="10" t="s">
        <v>18</v>
      </c>
      <c r="C90" s="10" t="s">
        <v>39</v>
      </c>
      <c r="D90" s="19">
        <v>1154.33</v>
      </c>
      <c r="E90" s="11">
        <v>11</v>
      </c>
      <c r="F90" s="12">
        <v>0.15</v>
      </c>
      <c r="G90" s="13">
        <v>45549</v>
      </c>
      <c r="H90" s="22">
        <v>441.53</v>
      </c>
    </row>
    <row r="91" spans="1:8" x14ac:dyDescent="0.3">
      <c r="A91" s="2" t="s">
        <v>50</v>
      </c>
      <c r="B91" s="2" t="s">
        <v>20</v>
      </c>
      <c r="C91" s="2" t="s">
        <v>12</v>
      </c>
      <c r="D91" s="20">
        <v>1264.49</v>
      </c>
      <c r="E91" s="6">
        <v>16</v>
      </c>
      <c r="F91" s="8">
        <v>0.05</v>
      </c>
      <c r="G91" s="7">
        <v>45549</v>
      </c>
      <c r="H91" s="23">
        <v>480.51</v>
      </c>
    </row>
    <row r="92" spans="1:8" x14ac:dyDescent="0.3">
      <c r="A92" s="10" t="s">
        <v>66</v>
      </c>
      <c r="B92" s="10" t="s">
        <v>11</v>
      </c>
      <c r="C92" s="10" t="s">
        <v>27</v>
      </c>
      <c r="D92" s="19">
        <v>1101.55</v>
      </c>
      <c r="E92" s="11">
        <v>4</v>
      </c>
      <c r="F92" s="12">
        <v>0.1</v>
      </c>
      <c r="G92" s="13">
        <v>45551</v>
      </c>
      <c r="H92" s="22">
        <v>346.99</v>
      </c>
    </row>
    <row r="93" spans="1:8" x14ac:dyDescent="0.3">
      <c r="A93" s="2" t="s">
        <v>14</v>
      </c>
      <c r="B93" s="2" t="s">
        <v>20</v>
      </c>
      <c r="C93" s="2" t="s">
        <v>27</v>
      </c>
      <c r="D93" s="20">
        <v>727.73</v>
      </c>
      <c r="E93" s="6">
        <v>1</v>
      </c>
      <c r="F93" s="8">
        <v>0.1</v>
      </c>
      <c r="G93" s="7">
        <v>45552</v>
      </c>
      <c r="H93" s="23">
        <v>229.23</v>
      </c>
    </row>
    <row r="94" spans="1:8" x14ac:dyDescent="0.3">
      <c r="A94" s="10" t="s">
        <v>38</v>
      </c>
      <c r="B94" s="10" t="s">
        <v>18</v>
      </c>
      <c r="C94" s="10" t="s">
        <v>39</v>
      </c>
      <c r="D94" s="19">
        <v>875.41</v>
      </c>
      <c r="E94" s="11">
        <v>13</v>
      </c>
      <c r="F94" s="12">
        <v>0.15</v>
      </c>
      <c r="G94" s="13">
        <v>45552</v>
      </c>
      <c r="H94" s="22">
        <v>334.84</v>
      </c>
    </row>
    <row r="95" spans="1:8" x14ac:dyDescent="0.3">
      <c r="A95" s="2" t="s">
        <v>23</v>
      </c>
      <c r="B95" s="2" t="s">
        <v>11</v>
      </c>
      <c r="C95" s="2" t="s">
        <v>21</v>
      </c>
      <c r="D95" s="20">
        <v>1158.94</v>
      </c>
      <c r="E95" s="6">
        <v>19</v>
      </c>
      <c r="F95" s="8">
        <v>0.2</v>
      </c>
      <c r="G95" s="7">
        <v>45553</v>
      </c>
      <c r="H95" s="23">
        <v>231.79</v>
      </c>
    </row>
    <row r="96" spans="1:8" x14ac:dyDescent="0.3">
      <c r="A96" s="10" t="s">
        <v>47</v>
      </c>
      <c r="B96" s="10" t="s">
        <v>20</v>
      </c>
      <c r="C96" s="10" t="s">
        <v>12</v>
      </c>
      <c r="D96" s="19">
        <v>966.3</v>
      </c>
      <c r="E96" s="11">
        <v>2</v>
      </c>
      <c r="F96" s="12">
        <v>0.15</v>
      </c>
      <c r="G96" s="13">
        <v>45557</v>
      </c>
      <c r="H96" s="22">
        <v>328.54</v>
      </c>
    </row>
    <row r="97" spans="1:8" x14ac:dyDescent="0.3">
      <c r="A97" s="2" t="s">
        <v>17</v>
      </c>
      <c r="B97" s="2" t="s">
        <v>20</v>
      </c>
      <c r="C97" s="2" t="s">
        <v>12</v>
      </c>
      <c r="D97" s="20">
        <v>917.48</v>
      </c>
      <c r="E97" s="6">
        <v>6</v>
      </c>
      <c r="F97" s="8">
        <v>0</v>
      </c>
      <c r="G97" s="7">
        <v>45558</v>
      </c>
      <c r="H97" s="23">
        <v>366.99</v>
      </c>
    </row>
    <row r="98" spans="1:8" x14ac:dyDescent="0.3">
      <c r="A98" s="10" t="s">
        <v>61</v>
      </c>
      <c r="B98" s="10" t="s">
        <v>11</v>
      </c>
      <c r="C98" s="10" t="s">
        <v>27</v>
      </c>
      <c r="D98" s="19">
        <v>1172.97</v>
      </c>
      <c r="E98" s="11">
        <v>7</v>
      </c>
      <c r="F98" s="12">
        <v>0.15</v>
      </c>
      <c r="G98" s="13">
        <v>45559</v>
      </c>
      <c r="H98" s="22">
        <v>348.96</v>
      </c>
    </row>
    <row r="99" spans="1:8" x14ac:dyDescent="0.3">
      <c r="A99" s="2" t="s">
        <v>23</v>
      </c>
      <c r="B99" s="2" t="s">
        <v>24</v>
      </c>
      <c r="C99" s="2" t="s">
        <v>15</v>
      </c>
      <c r="D99" s="20">
        <v>1205.82</v>
      </c>
      <c r="E99" s="6">
        <v>11</v>
      </c>
      <c r="F99" s="8">
        <v>0.1</v>
      </c>
      <c r="G99" s="7">
        <v>45559</v>
      </c>
      <c r="H99" s="23">
        <v>542.62</v>
      </c>
    </row>
    <row r="100" spans="1:8" x14ac:dyDescent="0.3">
      <c r="A100" s="10" t="s">
        <v>64</v>
      </c>
      <c r="B100" s="10" t="s">
        <v>11</v>
      </c>
      <c r="C100" s="10" t="s">
        <v>39</v>
      </c>
      <c r="D100" s="19">
        <v>826.93</v>
      </c>
      <c r="E100" s="11">
        <v>10</v>
      </c>
      <c r="F100" s="12">
        <v>0.2</v>
      </c>
      <c r="G100" s="13">
        <v>45564</v>
      </c>
      <c r="H100" s="22">
        <v>297.69</v>
      </c>
    </row>
    <row r="101" spans="1:8" x14ac:dyDescent="0.3">
      <c r="A101" s="2" t="s">
        <v>23</v>
      </c>
      <c r="B101" s="2" t="s">
        <v>34</v>
      </c>
      <c r="C101" s="2" t="s">
        <v>15</v>
      </c>
      <c r="D101" s="20">
        <v>902.19</v>
      </c>
      <c r="E101" s="6">
        <v>12</v>
      </c>
      <c r="F101" s="8">
        <v>0</v>
      </c>
      <c r="G101" s="7">
        <v>45564</v>
      </c>
      <c r="H101" s="23">
        <v>451.1</v>
      </c>
    </row>
    <row r="102" spans="1:8" x14ac:dyDescent="0.3">
      <c r="A102" s="10" t="s">
        <v>38</v>
      </c>
      <c r="B102" s="10" t="s">
        <v>24</v>
      </c>
      <c r="C102" s="10" t="s">
        <v>12</v>
      </c>
      <c r="D102" s="19">
        <v>585.97</v>
      </c>
      <c r="E102" s="11">
        <v>17</v>
      </c>
      <c r="F102" s="12">
        <v>0.1</v>
      </c>
      <c r="G102" s="13">
        <v>45565</v>
      </c>
      <c r="H102" s="22">
        <v>210.95</v>
      </c>
    </row>
    <row r="103" spans="1:8" x14ac:dyDescent="0.3">
      <c r="A103" s="2" t="s">
        <v>26</v>
      </c>
      <c r="B103" s="2" t="s">
        <v>24</v>
      </c>
      <c r="C103" s="2" t="s">
        <v>15</v>
      </c>
      <c r="D103" s="20">
        <v>990.19</v>
      </c>
      <c r="E103" s="6">
        <v>8</v>
      </c>
      <c r="F103" s="8">
        <v>0.1</v>
      </c>
      <c r="G103" s="7">
        <v>45565</v>
      </c>
      <c r="H103" s="23">
        <v>445.59</v>
      </c>
    </row>
    <row r="104" spans="1:8" x14ac:dyDescent="0.3">
      <c r="A104" s="10" t="s">
        <v>56</v>
      </c>
      <c r="B104" s="10" t="s">
        <v>34</v>
      </c>
      <c r="C104" s="10" t="s">
        <v>21</v>
      </c>
      <c r="D104" s="19">
        <v>1014.09</v>
      </c>
      <c r="E104" s="11">
        <v>13</v>
      </c>
      <c r="F104" s="12">
        <v>0.2</v>
      </c>
      <c r="G104" s="13">
        <v>45567</v>
      </c>
      <c r="H104" s="22">
        <v>202.82</v>
      </c>
    </row>
    <row r="105" spans="1:8" x14ac:dyDescent="0.3">
      <c r="A105" s="2" t="s">
        <v>48</v>
      </c>
      <c r="B105" s="2" t="s">
        <v>24</v>
      </c>
      <c r="C105" s="2" t="s">
        <v>21</v>
      </c>
      <c r="D105" s="20">
        <v>925.29</v>
      </c>
      <c r="E105" s="6">
        <v>17</v>
      </c>
      <c r="F105" s="8">
        <v>0</v>
      </c>
      <c r="G105" s="7">
        <v>45570</v>
      </c>
      <c r="H105" s="23">
        <v>231.32</v>
      </c>
    </row>
    <row r="106" spans="1:8" x14ac:dyDescent="0.3">
      <c r="A106" s="10" t="s">
        <v>47</v>
      </c>
      <c r="B106" s="10" t="s">
        <v>18</v>
      </c>
      <c r="C106" s="10" t="s">
        <v>27</v>
      </c>
      <c r="D106" s="19">
        <v>1286.54</v>
      </c>
      <c r="E106" s="11">
        <v>8</v>
      </c>
      <c r="F106" s="12">
        <v>0</v>
      </c>
      <c r="G106" s="13">
        <v>45575</v>
      </c>
      <c r="H106" s="22">
        <v>450.29</v>
      </c>
    </row>
    <row r="107" spans="1:8" x14ac:dyDescent="0.3">
      <c r="A107" s="2" t="s">
        <v>64</v>
      </c>
      <c r="B107" s="2" t="s">
        <v>20</v>
      </c>
      <c r="C107" s="2" t="s">
        <v>12</v>
      </c>
      <c r="D107" s="20">
        <v>961.62</v>
      </c>
      <c r="E107" s="6">
        <v>8</v>
      </c>
      <c r="F107" s="8">
        <v>0.2</v>
      </c>
      <c r="G107" s="7">
        <v>45577</v>
      </c>
      <c r="H107" s="23">
        <v>307.72000000000003</v>
      </c>
    </row>
    <row r="108" spans="1:8" x14ac:dyDescent="0.3">
      <c r="A108" s="10" t="s">
        <v>23</v>
      </c>
      <c r="B108" s="10" t="s">
        <v>18</v>
      </c>
      <c r="C108" s="10" t="s">
        <v>12</v>
      </c>
      <c r="D108" s="19">
        <v>1081.1400000000001</v>
      </c>
      <c r="E108" s="11">
        <v>19</v>
      </c>
      <c r="F108" s="12">
        <v>0.15</v>
      </c>
      <c r="G108" s="13">
        <v>45577</v>
      </c>
      <c r="H108" s="22">
        <v>367.59</v>
      </c>
    </row>
    <row r="109" spans="1:8" x14ac:dyDescent="0.3">
      <c r="A109" s="2" t="s">
        <v>23</v>
      </c>
      <c r="B109" s="2" t="s">
        <v>11</v>
      </c>
      <c r="C109" s="2" t="s">
        <v>15</v>
      </c>
      <c r="D109" s="20">
        <v>1923.66</v>
      </c>
      <c r="E109" s="6">
        <v>9</v>
      </c>
      <c r="F109" s="8">
        <v>0.2</v>
      </c>
      <c r="G109" s="7">
        <v>45580</v>
      </c>
      <c r="H109" s="23">
        <v>769.46</v>
      </c>
    </row>
    <row r="110" spans="1:8" x14ac:dyDescent="0.3">
      <c r="A110" s="10" t="s">
        <v>66</v>
      </c>
      <c r="B110" s="10" t="s">
        <v>34</v>
      </c>
      <c r="C110" s="10" t="s">
        <v>15</v>
      </c>
      <c r="D110" s="19">
        <v>728.71</v>
      </c>
      <c r="E110" s="11">
        <v>14</v>
      </c>
      <c r="F110" s="12">
        <v>0.1</v>
      </c>
      <c r="G110" s="13">
        <v>45581</v>
      </c>
      <c r="H110" s="22">
        <v>327.92</v>
      </c>
    </row>
    <row r="111" spans="1:8" x14ac:dyDescent="0.3">
      <c r="A111" s="2" t="s">
        <v>33</v>
      </c>
      <c r="B111" s="2" t="s">
        <v>34</v>
      </c>
      <c r="C111" s="2" t="s">
        <v>15</v>
      </c>
      <c r="D111" s="20">
        <v>1301.8900000000001</v>
      </c>
      <c r="E111" s="6">
        <v>7</v>
      </c>
      <c r="F111" s="8">
        <v>0.15</v>
      </c>
      <c r="G111" s="7">
        <v>45581</v>
      </c>
      <c r="H111" s="23">
        <v>553.29999999999995</v>
      </c>
    </row>
    <row r="112" spans="1:8" x14ac:dyDescent="0.3">
      <c r="A112" s="10" t="s">
        <v>66</v>
      </c>
      <c r="B112" s="10" t="s">
        <v>18</v>
      </c>
      <c r="C112" s="10" t="s">
        <v>12</v>
      </c>
      <c r="D112" s="19">
        <v>980.18</v>
      </c>
      <c r="E112" s="11">
        <v>16</v>
      </c>
      <c r="F112" s="12">
        <v>0.1</v>
      </c>
      <c r="G112" s="13">
        <v>45582</v>
      </c>
      <c r="H112" s="22">
        <v>352.86</v>
      </c>
    </row>
    <row r="113" spans="1:8" x14ac:dyDescent="0.3">
      <c r="A113" s="2" t="s">
        <v>23</v>
      </c>
      <c r="B113" s="2" t="s">
        <v>11</v>
      </c>
      <c r="C113" s="2" t="s">
        <v>15</v>
      </c>
      <c r="D113" s="20">
        <v>697.57</v>
      </c>
      <c r="E113" s="6">
        <v>17</v>
      </c>
      <c r="F113" s="8">
        <v>0.1</v>
      </c>
      <c r="G113" s="7">
        <v>45584</v>
      </c>
      <c r="H113" s="23">
        <v>313.91000000000003</v>
      </c>
    </row>
    <row r="114" spans="1:8" x14ac:dyDescent="0.3">
      <c r="A114" s="10" t="s">
        <v>71</v>
      </c>
      <c r="B114" s="10" t="s">
        <v>11</v>
      </c>
      <c r="C114" s="10" t="s">
        <v>27</v>
      </c>
      <c r="D114" s="19">
        <v>1193.6099999999999</v>
      </c>
      <c r="E114" s="11">
        <v>1</v>
      </c>
      <c r="F114" s="12">
        <v>0.15</v>
      </c>
      <c r="G114" s="13">
        <v>45584</v>
      </c>
      <c r="H114" s="22">
        <v>355.1</v>
      </c>
    </row>
    <row r="115" spans="1:8" x14ac:dyDescent="0.3">
      <c r="A115" s="2" t="s">
        <v>38</v>
      </c>
      <c r="B115" s="2" t="s">
        <v>20</v>
      </c>
      <c r="C115" s="2" t="s">
        <v>21</v>
      </c>
      <c r="D115" s="20">
        <v>771.02</v>
      </c>
      <c r="E115" s="6">
        <v>1</v>
      </c>
      <c r="F115" s="8">
        <v>0</v>
      </c>
      <c r="G115" s="7">
        <v>45585</v>
      </c>
      <c r="H115" s="23">
        <v>192.76</v>
      </c>
    </row>
    <row r="116" spans="1:8" x14ac:dyDescent="0.3">
      <c r="A116" s="10" t="s">
        <v>69</v>
      </c>
      <c r="B116" s="10" t="s">
        <v>24</v>
      </c>
      <c r="C116" s="10" t="s">
        <v>15</v>
      </c>
      <c r="D116" s="19">
        <v>661.09</v>
      </c>
      <c r="E116" s="11">
        <v>1</v>
      </c>
      <c r="F116" s="12">
        <v>0.2</v>
      </c>
      <c r="G116" s="13">
        <v>45593</v>
      </c>
      <c r="H116" s="22">
        <v>264.44</v>
      </c>
    </row>
    <row r="117" spans="1:8" x14ac:dyDescent="0.3">
      <c r="A117" s="2" t="s">
        <v>55</v>
      </c>
      <c r="B117" s="2" t="s">
        <v>11</v>
      </c>
      <c r="C117" s="2" t="s">
        <v>21</v>
      </c>
      <c r="D117" s="20">
        <v>688.83</v>
      </c>
      <c r="E117" s="6">
        <v>15</v>
      </c>
      <c r="F117" s="8">
        <v>0</v>
      </c>
      <c r="G117" s="7">
        <v>45595</v>
      </c>
      <c r="H117" s="23">
        <v>172.21</v>
      </c>
    </row>
    <row r="118" spans="1:8" x14ac:dyDescent="0.3">
      <c r="A118" s="10" t="s">
        <v>29</v>
      </c>
      <c r="B118" s="10" t="s">
        <v>34</v>
      </c>
      <c r="C118" s="10" t="s">
        <v>12</v>
      </c>
      <c r="D118" s="19">
        <v>1249.0999999999999</v>
      </c>
      <c r="E118" s="11">
        <v>4</v>
      </c>
      <c r="F118" s="12">
        <v>0.05</v>
      </c>
      <c r="G118" s="13">
        <v>45597</v>
      </c>
      <c r="H118" s="22">
        <v>474.66</v>
      </c>
    </row>
    <row r="119" spans="1:8" x14ac:dyDescent="0.3">
      <c r="A119" s="2" t="s">
        <v>23</v>
      </c>
      <c r="B119" s="2" t="s">
        <v>18</v>
      </c>
      <c r="C119" s="2" t="s">
        <v>39</v>
      </c>
      <c r="D119" s="20">
        <v>1014.22</v>
      </c>
      <c r="E119" s="6">
        <v>14</v>
      </c>
      <c r="F119" s="8">
        <v>0.05</v>
      </c>
      <c r="G119" s="7">
        <v>45599</v>
      </c>
      <c r="H119" s="23">
        <v>433.58</v>
      </c>
    </row>
    <row r="120" spans="1:8" x14ac:dyDescent="0.3">
      <c r="A120" s="10" t="s">
        <v>48</v>
      </c>
      <c r="B120" s="10" t="s">
        <v>18</v>
      </c>
      <c r="C120" s="10" t="s">
        <v>12</v>
      </c>
      <c r="D120" s="19">
        <v>1010.58</v>
      </c>
      <c r="E120" s="11">
        <v>2</v>
      </c>
      <c r="F120" s="12">
        <v>0.15</v>
      </c>
      <c r="G120" s="13">
        <v>45605</v>
      </c>
      <c r="H120" s="22">
        <v>343.6</v>
      </c>
    </row>
    <row r="121" spans="1:8" x14ac:dyDescent="0.3">
      <c r="A121" s="2" t="s">
        <v>59</v>
      </c>
      <c r="B121" s="2" t="s">
        <v>24</v>
      </c>
      <c r="C121" s="2" t="s">
        <v>27</v>
      </c>
      <c r="D121" s="20">
        <v>957.29</v>
      </c>
      <c r="E121" s="6">
        <v>4</v>
      </c>
      <c r="F121" s="8">
        <v>0.05</v>
      </c>
      <c r="G121" s="7">
        <v>45605</v>
      </c>
      <c r="H121" s="23">
        <v>318.3</v>
      </c>
    </row>
    <row r="122" spans="1:8" x14ac:dyDescent="0.3">
      <c r="A122" s="10" t="s">
        <v>45</v>
      </c>
      <c r="B122" s="10" t="s">
        <v>24</v>
      </c>
      <c r="C122" s="10" t="s">
        <v>27</v>
      </c>
      <c r="D122" s="19">
        <v>1077.92</v>
      </c>
      <c r="E122" s="11">
        <v>3</v>
      </c>
      <c r="F122" s="12">
        <v>0.05</v>
      </c>
      <c r="G122" s="13">
        <v>45608</v>
      </c>
      <c r="H122" s="22">
        <v>358.41</v>
      </c>
    </row>
    <row r="123" spans="1:8" x14ac:dyDescent="0.3">
      <c r="A123" s="2" t="s">
        <v>50</v>
      </c>
      <c r="B123" s="2" t="s">
        <v>20</v>
      </c>
      <c r="C123" s="2" t="s">
        <v>15</v>
      </c>
      <c r="D123" s="20">
        <v>1163.01</v>
      </c>
      <c r="E123" s="6">
        <v>5</v>
      </c>
      <c r="F123" s="8">
        <v>0</v>
      </c>
      <c r="G123" s="7">
        <v>45611</v>
      </c>
      <c r="H123" s="23">
        <v>581.5</v>
      </c>
    </row>
    <row r="124" spans="1:8" x14ac:dyDescent="0.3">
      <c r="A124" s="10" t="s">
        <v>45</v>
      </c>
      <c r="B124" s="10" t="s">
        <v>18</v>
      </c>
      <c r="C124" s="10" t="s">
        <v>39</v>
      </c>
      <c r="D124" s="19">
        <v>1014.56</v>
      </c>
      <c r="E124" s="11">
        <v>10</v>
      </c>
      <c r="F124" s="12">
        <v>0.1</v>
      </c>
      <c r="G124" s="13">
        <v>45612</v>
      </c>
      <c r="H124" s="22">
        <v>410.9</v>
      </c>
    </row>
    <row r="125" spans="1:8" x14ac:dyDescent="0.3">
      <c r="A125" s="2" t="s">
        <v>17</v>
      </c>
      <c r="B125" s="2" t="s">
        <v>20</v>
      </c>
      <c r="C125" s="2" t="s">
        <v>21</v>
      </c>
      <c r="D125" s="20">
        <v>718.04</v>
      </c>
      <c r="E125" s="6">
        <v>14</v>
      </c>
      <c r="F125" s="8">
        <v>0</v>
      </c>
      <c r="G125" s="7">
        <v>45613</v>
      </c>
      <c r="H125" s="23">
        <v>179.51</v>
      </c>
    </row>
    <row r="126" spans="1:8" x14ac:dyDescent="0.3">
      <c r="A126" s="10" t="s">
        <v>17</v>
      </c>
      <c r="B126" s="10" t="s">
        <v>34</v>
      </c>
      <c r="C126" s="10" t="s">
        <v>15</v>
      </c>
      <c r="D126" s="19">
        <v>1277.8499999999999</v>
      </c>
      <c r="E126" s="11">
        <v>18</v>
      </c>
      <c r="F126" s="12">
        <v>0.2</v>
      </c>
      <c r="G126" s="13">
        <v>45613</v>
      </c>
      <c r="H126" s="22">
        <v>511.14</v>
      </c>
    </row>
    <row r="127" spans="1:8" x14ac:dyDescent="0.3">
      <c r="A127" s="2" t="s">
        <v>23</v>
      </c>
      <c r="B127" s="2" t="s">
        <v>24</v>
      </c>
      <c r="C127" s="2" t="s">
        <v>21</v>
      </c>
      <c r="D127" s="20">
        <v>706.73</v>
      </c>
      <c r="E127" s="6">
        <v>1</v>
      </c>
      <c r="F127" s="8">
        <v>0.15</v>
      </c>
      <c r="G127" s="7">
        <v>45613</v>
      </c>
      <c r="H127" s="23">
        <v>150.18</v>
      </c>
    </row>
    <row r="128" spans="1:8" x14ac:dyDescent="0.3">
      <c r="A128" s="10" t="s">
        <v>50</v>
      </c>
      <c r="B128" s="10" t="s">
        <v>18</v>
      </c>
      <c r="C128" s="10" t="s">
        <v>21</v>
      </c>
      <c r="D128" s="19">
        <v>1410.59</v>
      </c>
      <c r="E128" s="11">
        <v>15</v>
      </c>
      <c r="F128" s="12">
        <v>0</v>
      </c>
      <c r="G128" s="13">
        <v>45615</v>
      </c>
      <c r="H128" s="22">
        <v>352.65</v>
      </c>
    </row>
    <row r="129" spans="1:8" x14ac:dyDescent="0.3">
      <c r="A129" s="2" t="s">
        <v>61</v>
      </c>
      <c r="B129" s="2" t="s">
        <v>20</v>
      </c>
      <c r="C129" s="2" t="s">
        <v>27</v>
      </c>
      <c r="D129" s="20">
        <v>1350.33</v>
      </c>
      <c r="E129" s="6">
        <v>10</v>
      </c>
      <c r="F129" s="8">
        <v>0</v>
      </c>
      <c r="G129" s="7">
        <v>45615</v>
      </c>
      <c r="H129" s="23">
        <v>472.62</v>
      </c>
    </row>
    <row r="130" spans="1:8" x14ac:dyDescent="0.3">
      <c r="A130" s="10" t="s">
        <v>45</v>
      </c>
      <c r="B130" s="10" t="s">
        <v>18</v>
      </c>
      <c r="C130" s="10" t="s">
        <v>21</v>
      </c>
      <c r="D130" s="19">
        <v>919.18</v>
      </c>
      <c r="E130" s="11">
        <v>4</v>
      </c>
      <c r="F130" s="12">
        <v>0.15</v>
      </c>
      <c r="G130" s="13">
        <v>45615</v>
      </c>
      <c r="H130" s="22">
        <v>195.33</v>
      </c>
    </row>
    <row r="131" spans="1:8" x14ac:dyDescent="0.3">
      <c r="A131" s="2" t="s">
        <v>23</v>
      </c>
      <c r="B131" s="2" t="s">
        <v>11</v>
      </c>
      <c r="C131" s="2" t="s">
        <v>21</v>
      </c>
      <c r="D131" s="20">
        <v>258.51</v>
      </c>
      <c r="E131" s="6">
        <v>19</v>
      </c>
      <c r="F131" s="8">
        <v>0</v>
      </c>
      <c r="G131" s="7">
        <v>45616</v>
      </c>
      <c r="H131" s="23">
        <v>64.63</v>
      </c>
    </row>
    <row r="132" spans="1:8" x14ac:dyDescent="0.3">
      <c r="A132" s="10" t="s">
        <v>61</v>
      </c>
      <c r="B132" s="10" t="s">
        <v>18</v>
      </c>
      <c r="C132" s="10" t="s">
        <v>12</v>
      </c>
      <c r="D132" s="19">
        <v>1213.48</v>
      </c>
      <c r="E132" s="11">
        <v>5</v>
      </c>
      <c r="F132" s="12">
        <v>0.05</v>
      </c>
      <c r="G132" s="13">
        <v>45616</v>
      </c>
      <c r="H132" s="22">
        <v>461.12</v>
      </c>
    </row>
    <row r="133" spans="1:8" x14ac:dyDescent="0.3">
      <c r="A133" s="2" t="s">
        <v>38</v>
      </c>
      <c r="B133" s="2" t="s">
        <v>34</v>
      </c>
      <c r="C133" s="2" t="s">
        <v>12</v>
      </c>
      <c r="D133" s="20">
        <v>1150.28</v>
      </c>
      <c r="E133" s="6">
        <v>8</v>
      </c>
      <c r="F133" s="8">
        <v>0.05</v>
      </c>
      <c r="G133" s="7">
        <v>45622</v>
      </c>
      <c r="H133" s="23">
        <v>437.11</v>
      </c>
    </row>
    <row r="134" spans="1:8" x14ac:dyDescent="0.3">
      <c r="A134" s="10" t="s">
        <v>71</v>
      </c>
      <c r="B134" s="10" t="s">
        <v>20</v>
      </c>
      <c r="C134" s="10" t="s">
        <v>27</v>
      </c>
      <c r="D134" s="19">
        <v>853.86</v>
      </c>
      <c r="E134" s="11">
        <v>8</v>
      </c>
      <c r="F134" s="12">
        <v>0.1</v>
      </c>
      <c r="G134" s="13">
        <v>45622</v>
      </c>
      <c r="H134" s="22">
        <v>268.97000000000003</v>
      </c>
    </row>
    <row r="135" spans="1:8" x14ac:dyDescent="0.3">
      <c r="A135" s="2" t="s">
        <v>45</v>
      </c>
      <c r="B135" s="2" t="s">
        <v>20</v>
      </c>
      <c r="C135" s="2" t="s">
        <v>21</v>
      </c>
      <c r="D135" s="20">
        <v>1061.04</v>
      </c>
      <c r="E135" s="6">
        <v>1</v>
      </c>
      <c r="F135" s="8">
        <v>0</v>
      </c>
      <c r="G135" s="7">
        <v>45624</v>
      </c>
      <c r="H135" s="23">
        <v>265.26</v>
      </c>
    </row>
    <row r="136" spans="1:8" x14ac:dyDescent="0.3">
      <c r="A136" s="10" t="s">
        <v>43</v>
      </c>
      <c r="B136" s="10" t="s">
        <v>11</v>
      </c>
      <c r="C136" s="10" t="s">
        <v>21</v>
      </c>
      <c r="D136" s="19">
        <v>894.55</v>
      </c>
      <c r="E136" s="11">
        <v>19</v>
      </c>
      <c r="F136" s="12">
        <v>0.2</v>
      </c>
      <c r="G136" s="13">
        <v>45625</v>
      </c>
      <c r="H136" s="22">
        <v>178.91</v>
      </c>
    </row>
    <row r="137" spans="1:8" x14ac:dyDescent="0.3">
      <c r="A137" s="2" t="s">
        <v>38</v>
      </c>
      <c r="B137" s="2" t="s">
        <v>24</v>
      </c>
      <c r="C137" s="2" t="s">
        <v>39</v>
      </c>
      <c r="D137" s="20">
        <v>833.91</v>
      </c>
      <c r="E137" s="6">
        <v>3</v>
      </c>
      <c r="F137" s="8">
        <v>0.05</v>
      </c>
      <c r="G137" s="7">
        <v>45626</v>
      </c>
      <c r="H137" s="23">
        <v>356.5</v>
      </c>
    </row>
    <row r="138" spans="1:8" x14ac:dyDescent="0.3">
      <c r="A138" s="10" t="s">
        <v>71</v>
      </c>
      <c r="B138" s="10" t="s">
        <v>11</v>
      </c>
      <c r="C138" s="10" t="s">
        <v>27</v>
      </c>
      <c r="D138" s="19">
        <v>820.19</v>
      </c>
      <c r="E138" s="11">
        <v>4</v>
      </c>
      <c r="F138" s="12">
        <v>0.2</v>
      </c>
      <c r="G138" s="13">
        <v>45630</v>
      </c>
      <c r="H138" s="22">
        <v>229.65</v>
      </c>
    </row>
    <row r="139" spans="1:8" x14ac:dyDescent="0.3">
      <c r="A139" s="2" t="s">
        <v>38</v>
      </c>
      <c r="B139" s="2" t="s">
        <v>34</v>
      </c>
      <c r="C139" s="2" t="s">
        <v>21</v>
      </c>
      <c r="D139" s="20">
        <v>511.74</v>
      </c>
      <c r="E139" s="6">
        <v>8</v>
      </c>
      <c r="F139" s="8">
        <v>0.05</v>
      </c>
      <c r="G139" s="7">
        <v>45631</v>
      </c>
      <c r="H139" s="23">
        <v>121.54</v>
      </c>
    </row>
    <row r="140" spans="1:8" x14ac:dyDescent="0.3">
      <c r="A140" s="10" t="s">
        <v>61</v>
      </c>
      <c r="B140" s="10" t="s">
        <v>20</v>
      </c>
      <c r="C140" s="10" t="s">
        <v>27</v>
      </c>
      <c r="D140" s="19">
        <v>806.03</v>
      </c>
      <c r="E140" s="11">
        <v>19</v>
      </c>
      <c r="F140" s="12">
        <v>0.05</v>
      </c>
      <c r="G140" s="13">
        <v>45638</v>
      </c>
      <c r="H140" s="22">
        <v>268</v>
      </c>
    </row>
    <row r="141" spans="1:8" x14ac:dyDescent="0.3">
      <c r="A141" s="2" t="s">
        <v>26</v>
      </c>
      <c r="B141" s="2" t="s">
        <v>34</v>
      </c>
      <c r="C141" s="2" t="s">
        <v>27</v>
      </c>
      <c r="D141" s="20">
        <v>1432.47</v>
      </c>
      <c r="E141" s="6">
        <v>16</v>
      </c>
      <c r="F141" s="8">
        <v>0.15</v>
      </c>
      <c r="G141" s="7">
        <v>45640</v>
      </c>
      <c r="H141" s="23">
        <v>426.16</v>
      </c>
    </row>
    <row r="142" spans="1:8" x14ac:dyDescent="0.3">
      <c r="A142" s="10" t="s">
        <v>29</v>
      </c>
      <c r="B142" s="10" t="s">
        <v>34</v>
      </c>
      <c r="C142" s="10" t="s">
        <v>21</v>
      </c>
      <c r="D142" s="19">
        <v>1488.58</v>
      </c>
      <c r="E142" s="11">
        <v>10</v>
      </c>
      <c r="F142" s="12">
        <v>0.15</v>
      </c>
      <c r="G142" s="13">
        <v>45640</v>
      </c>
      <c r="H142" s="22">
        <v>316.32</v>
      </c>
    </row>
    <row r="143" spans="1:8" x14ac:dyDescent="0.3">
      <c r="A143" s="2" t="s">
        <v>66</v>
      </c>
      <c r="B143" s="2" t="s">
        <v>18</v>
      </c>
      <c r="C143" s="2" t="s">
        <v>12</v>
      </c>
      <c r="D143" s="20">
        <v>1231.26</v>
      </c>
      <c r="E143" s="6">
        <v>9</v>
      </c>
      <c r="F143" s="8">
        <v>0</v>
      </c>
      <c r="G143" s="7">
        <v>45646</v>
      </c>
      <c r="H143" s="23">
        <v>492.5</v>
      </c>
    </row>
    <row r="144" spans="1:8" x14ac:dyDescent="0.3">
      <c r="A144" s="10" t="s">
        <v>43</v>
      </c>
      <c r="B144" s="10" t="s">
        <v>11</v>
      </c>
      <c r="C144" s="10" t="s">
        <v>21</v>
      </c>
      <c r="D144" s="19">
        <v>1161.67</v>
      </c>
      <c r="E144" s="11">
        <v>19</v>
      </c>
      <c r="F144" s="12">
        <v>0.2</v>
      </c>
      <c r="G144" s="13">
        <v>45647</v>
      </c>
      <c r="H144" s="22">
        <v>232.33</v>
      </c>
    </row>
    <row r="145" spans="1:8" x14ac:dyDescent="0.3">
      <c r="A145" s="2" t="s">
        <v>45</v>
      </c>
      <c r="B145" s="2" t="s">
        <v>34</v>
      </c>
      <c r="C145" s="2" t="s">
        <v>39</v>
      </c>
      <c r="D145" s="20">
        <v>388.23</v>
      </c>
      <c r="E145" s="6">
        <v>16</v>
      </c>
      <c r="F145" s="8">
        <v>0.05</v>
      </c>
      <c r="G145" s="7">
        <v>45650</v>
      </c>
      <c r="H145" s="23">
        <v>165.97</v>
      </c>
    </row>
    <row r="146" spans="1:8" x14ac:dyDescent="0.3">
      <c r="A146" s="10" t="s">
        <v>31</v>
      </c>
      <c r="B146" s="10" t="s">
        <v>24</v>
      </c>
      <c r="C146" s="10" t="s">
        <v>15</v>
      </c>
      <c r="D146" s="19">
        <v>1589.42</v>
      </c>
      <c r="E146" s="11">
        <v>6</v>
      </c>
      <c r="F146" s="12">
        <v>0.15</v>
      </c>
      <c r="G146" s="13">
        <v>45651</v>
      </c>
      <c r="H146" s="22">
        <v>675.5</v>
      </c>
    </row>
    <row r="147" spans="1:8" x14ac:dyDescent="0.3">
      <c r="A147" s="2" t="s">
        <v>71</v>
      </c>
      <c r="B147" s="2" t="s">
        <v>24</v>
      </c>
      <c r="C147" s="2" t="s">
        <v>15</v>
      </c>
      <c r="D147" s="20">
        <v>336.66</v>
      </c>
      <c r="E147" s="6">
        <v>13</v>
      </c>
      <c r="F147" s="8">
        <v>0.2</v>
      </c>
      <c r="G147" s="7">
        <v>45651</v>
      </c>
      <c r="H147" s="23">
        <v>134.66</v>
      </c>
    </row>
    <row r="148" spans="1:8" x14ac:dyDescent="0.3">
      <c r="A148" s="10" t="s">
        <v>23</v>
      </c>
      <c r="B148" s="10" t="s">
        <v>11</v>
      </c>
      <c r="C148" s="10" t="s">
        <v>12</v>
      </c>
      <c r="D148" s="19">
        <v>1353.79</v>
      </c>
      <c r="E148" s="11">
        <v>14</v>
      </c>
      <c r="F148" s="12">
        <v>0.1</v>
      </c>
      <c r="G148" s="13">
        <v>45656</v>
      </c>
      <c r="H148" s="22">
        <v>487.36</v>
      </c>
    </row>
    <row r="149" spans="1:8" x14ac:dyDescent="0.3">
      <c r="A149" s="2" t="s">
        <v>69</v>
      </c>
      <c r="B149" s="2" t="s">
        <v>34</v>
      </c>
      <c r="C149" s="2" t="s">
        <v>15</v>
      </c>
      <c r="D149" s="20">
        <v>662.61</v>
      </c>
      <c r="E149" s="6">
        <v>11</v>
      </c>
      <c r="F149" s="8">
        <v>0.05</v>
      </c>
      <c r="G149" s="7">
        <v>45658</v>
      </c>
      <c r="H149" s="23">
        <v>314.74</v>
      </c>
    </row>
    <row r="150" spans="1:8" x14ac:dyDescent="0.3">
      <c r="A150" s="10" t="s">
        <v>48</v>
      </c>
      <c r="B150" s="10" t="s">
        <v>24</v>
      </c>
      <c r="C150" s="10" t="s">
        <v>39</v>
      </c>
      <c r="D150" s="19">
        <v>309.42</v>
      </c>
      <c r="E150" s="11">
        <v>1</v>
      </c>
      <c r="F150" s="12">
        <v>0.2</v>
      </c>
      <c r="G150" s="13">
        <v>45658</v>
      </c>
      <c r="H150" s="22">
        <v>111.39</v>
      </c>
    </row>
    <row r="151" spans="1:8" x14ac:dyDescent="0.3">
      <c r="A151" s="2" t="s">
        <v>29</v>
      </c>
      <c r="B151" s="2" t="s">
        <v>24</v>
      </c>
      <c r="C151" s="2" t="s">
        <v>12</v>
      </c>
      <c r="D151" s="20">
        <v>884.63</v>
      </c>
      <c r="E151" s="6">
        <v>18</v>
      </c>
      <c r="F151" s="8">
        <v>0.1</v>
      </c>
      <c r="G151" s="7">
        <v>45659</v>
      </c>
      <c r="H151" s="23">
        <v>318.47000000000003</v>
      </c>
    </row>
    <row r="152" spans="1:8" x14ac:dyDescent="0.3">
      <c r="A152" s="10" t="s">
        <v>23</v>
      </c>
      <c r="B152" s="10" t="s">
        <v>34</v>
      </c>
      <c r="C152" s="10" t="s">
        <v>39</v>
      </c>
      <c r="D152" s="19">
        <v>745.05</v>
      </c>
      <c r="E152" s="11">
        <v>10</v>
      </c>
      <c r="F152" s="12">
        <v>0.1</v>
      </c>
      <c r="G152" s="13">
        <v>45660</v>
      </c>
      <c r="H152" s="22">
        <v>301.75</v>
      </c>
    </row>
    <row r="153" spans="1:8" x14ac:dyDescent="0.3">
      <c r="A153" s="2" t="s">
        <v>17</v>
      </c>
      <c r="B153" s="2" t="s">
        <v>20</v>
      </c>
      <c r="C153" s="2" t="s">
        <v>15</v>
      </c>
      <c r="D153" s="20">
        <v>870.23</v>
      </c>
      <c r="E153" s="6">
        <v>5</v>
      </c>
      <c r="F153" s="8">
        <v>0.05</v>
      </c>
      <c r="G153" s="7">
        <v>45660</v>
      </c>
      <c r="H153" s="23">
        <v>413.36</v>
      </c>
    </row>
    <row r="154" spans="1:8" x14ac:dyDescent="0.3">
      <c r="A154" s="10" t="s">
        <v>29</v>
      </c>
      <c r="B154" s="10" t="s">
        <v>11</v>
      </c>
      <c r="C154" s="10" t="s">
        <v>27</v>
      </c>
      <c r="D154" s="19">
        <v>862.19</v>
      </c>
      <c r="E154" s="11">
        <v>18</v>
      </c>
      <c r="F154" s="12">
        <v>0.05</v>
      </c>
      <c r="G154" s="13">
        <v>45663</v>
      </c>
      <c r="H154" s="22">
        <v>286.68</v>
      </c>
    </row>
    <row r="155" spans="1:8" x14ac:dyDescent="0.3">
      <c r="A155" s="2" t="s">
        <v>59</v>
      </c>
      <c r="B155" s="2" t="s">
        <v>24</v>
      </c>
      <c r="C155" s="2" t="s">
        <v>15</v>
      </c>
      <c r="D155" s="20">
        <v>1171.18</v>
      </c>
      <c r="E155" s="6">
        <v>19</v>
      </c>
      <c r="F155" s="8">
        <v>0.05</v>
      </c>
      <c r="G155" s="7">
        <v>45667</v>
      </c>
      <c r="H155" s="23">
        <v>556.30999999999995</v>
      </c>
    </row>
    <row r="156" spans="1:8" x14ac:dyDescent="0.3">
      <c r="A156" s="10" t="s">
        <v>14</v>
      </c>
      <c r="B156" s="10" t="s">
        <v>20</v>
      </c>
      <c r="C156" s="10" t="s">
        <v>27</v>
      </c>
      <c r="D156" s="19">
        <v>1054.56</v>
      </c>
      <c r="E156" s="11">
        <v>11</v>
      </c>
      <c r="F156" s="12">
        <v>0.1</v>
      </c>
      <c r="G156" s="13">
        <v>45669</v>
      </c>
      <c r="H156" s="22">
        <v>332.19</v>
      </c>
    </row>
    <row r="157" spans="1:8" x14ac:dyDescent="0.3">
      <c r="A157" s="2" t="s">
        <v>23</v>
      </c>
      <c r="B157" s="2" t="s">
        <v>24</v>
      </c>
      <c r="C157" s="2" t="s">
        <v>21</v>
      </c>
      <c r="D157" s="20">
        <v>1681.21</v>
      </c>
      <c r="E157" s="6">
        <v>5</v>
      </c>
      <c r="F157" s="8">
        <v>0.2</v>
      </c>
      <c r="G157" s="7">
        <v>45670</v>
      </c>
      <c r="H157" s="23">
        <v>336.24</v>
      </c>
    </row>
    <row r="158" spans="1:8" x14ac:dyDescent="0.3">
      <c r="A158" s="10" t="s">
        <v>36</v>
      </c>
      <c r="B158" s="10" t="s">
        <v>11</v>
      </c>
      <c r="C158" s="10" t="s">
        <v>15</v>
      </c>
      <c r="D158" s="19">
        <v>379.77</v>
      </c>
      <c r="E158" s="11">
        <v>9</v>
      </c>
      <c r="F158" s="12">
        <v>0.05</v>
      </c>
      <c r="G158" s="13">
        <v>45673</v>
      </c>
      <c r="H158" s="22">
        <v>180.39</v>
      </c>
    </row>
    <row r="159" spans="1:8" x14ac:dyDescent="0.3">
      <c r="A159" s="2" t="s">
        <v>45</v>
      </c>
      <c r="B159" s="2" t="s">
        <v>34</v>
      </c>
      <c r="C159" s="2" t="s">
        <v>15</v>
      </c>
      <c r="D159" s="20">
        <v>1076.33</v>
      </c>
      <c r="E159" s="6">
        <v>2</v>
      </c>
      <c r="F159" s="8">
        <v>0.1</v>
      </c>
      <c r="G159" s="7">
        <v>45674</v>
      </c>
      <c r="H159" s="23">
        <v>484.35</v>
      </c>
    </row>
    <row r="160" spans="1:8" x14ac:dyDescent="0.3">
      <c r="A160" s="10" t="s">
        <v>31</v>
      </c>
      <c r="B160" s="10" t="s">
        <v>34</v>
      </c>
      <c r="C160" s="10" t="s">
        <v>39</v>
      </c>
      <c r="D160" s="19">
        <v>1250.71</v>
      </c>
      <c r="E160" s="11">
        <v>7</v>
      </c>
      <c r="F160" s="12">
        <v>0</v>
      </c>
      <c r="G160" s="13">
        <v>45674</v>
      </c>
      <c r="H160" s="22">
        <v>562.82000000000005</v>
      </c>
    </row>
    <row r="161" spans="1:8" x14ac:dyDescent="0.3">
      <c r="A161" s="2" t="s">
        <v>17</v>
      </c>
      <c r="B161" s="2" t="s">
        <v>20</v>
      </c>
      <c r="C161" s="2" t="s">
        <v>15</v>
      </c>
      <c r="D161" s="20">
        <v>1118.3399999999999</v>
      </c>
      <c r="E161" s="6">
        <v>6</v>
      </c>
      <c r="F161" s="8">
        <v>0.2</v>
      </c>
      <c r="G161" s="7">
        <v>45674</v>
      </c>
      <c r="H161" s="23">
        <v>447.34</v>
      </c>
    </row>
    <row r="162" spans="1:8" x14ac:dyDescent="0.3">
      <c r="A162" s="10" t="s">
        <v>53</v>
      </c>
      <c r="B162" s="10" t="s">
        <v>24</v>
      </c>
      <c r="C162" s="10" t="s">
        <v>15</v>
      </c>
      <c r="D162" s="19">
        <v>1622.62</v>
      </c>
      <c r="E162" s="11">
        <v>12</v>
      </c>
      <c r="F162" s="12">
        <v>0.2</v>
      </c>
      <c r="G162" s="13">
        <v>45677</v>
      </c>
      <c r="H162" s="22">
        <v>649.04999999999995</v>
      </c>
    </row>
    <row r="163" spans="1:8" x14ac:dyDescent="0.3">
      <c r="A163" s="2" t="s">
        <v>48</v>
      </c>
      <c r="B163" s="2" t="s">
        <v>24</v>
      </c>
      <c r="C163" s="2" t="s">
        <v>12</v>
      </c>
      <c r="D163" s="20">
        <v>640.64</v>
      </c>
      <c r="E163" s="6">
        <v>11</v>
      </c>
      <c r="F163" s="8">
        <v>0.2</v>
      </c>
      <c r="G163" s="7">
        <v>45678</v>
      </c>
      <c r="H163" s="23">
        <v>205</v>
      </c>
    </row>
    <row r="164" spans="1:8" x14ac:dyDescent="0.3">
      <c r="A164" s="10" t="s">
        <v>43</v>
      </c>
      <c r="B164" s="10" t="s">
        <v>11</v>
      </c>
      <c r="C164" s="10" t="s">
        <v>15</v>
      </c>
      <c r="D164" s="19">
        <v>585.16</v>
      </c>
      <c r="E164" s="11">
        <v>17</v>
      </c>
      <c r="F164" s="12">
        <v>0.1</v>
      </c>
      <c r="G164" s="13">
        <v>45684</v>
      </c>
      <c r="H164" s="22">
        <v>263.32</v>
      </c>
    </row>
    <row r="165" spans="1:8" x14ac:dyDescent="0.3">
      <c r="A165" s="2" t="s">
        <v>31</v>
      </c>
      <c r="B165" s="2" t="s">
        <v>18</v>
      </c>
      <c r="C165" s="2" t="s">
        <v>15</v>
      </c>
      <c r="D165" s="20">
        <v>1109.98</v>
      </c>
      <c r="E165" s="6">
        <v>5</v>
      </c>
      <c r="F165" s="8">
        <v>0.2</v>
      </c>
      <c r="G165" s="7">
        <v>45690</v>
      </c>
      <c r="H165" s="23">
        <v>443.99</v>
      </c>
    </row>
    <row r="166" spans="1:8" x14ac:dyDescent="0.3">
      <c r="A166" s="10" t="s">
        <v>45</v>
      </c>
      <c r="B166" s="10" t="s">
        <v>18</v>
      </c>
      <c r="C166" s="10" t="s">
        <v>12</v>
      </c>
      <c r="D166" s="19">
        <v>1098.08</v>
      </c>
      <c r="E166" s="11">
        <v>9</v>
      </c>
      <c r="F166" s="12">
        <v>0.1</v>
      </c>
      <c r="G166" s="13">
        <v>45692</v>
      </c>
      <c r="H166" s="22">
        <v>395.31</v>
      </c>
    </row>
    <row r="167" spans="1:8" x14ac:dyDescent="0.3">
      <c r="A167" s="2" t="s">
        <v>48</v>
      </c>
      <c r="B167" s="2" t="s">
        <v>11</v>
      </c>
      <c r="C167" s="2" t="s">
        <v>39</v>
      </c>
      <c r="D167" s="20">
        <v>827.25</v>
      </c>
      <c r="E167" s="6">
        <v>7</v>
      </c>
      <c r="F167" s="8">
        <v>0.1</v>
      </c>
      <c r="G167" s="7">
        <v>45693</v>
      </c>
      <c r="H167" s="23">
        <v>335.04</v>
      </c>
    </row>
    <row r="168" spans="1:8" x14ac:dyDescent="0.3">
      <c r="A168" s="10" t="s">
        <v>29</v>
      </c>
      <c r="B168" s="10" t="s">
        <v>34</v>
      </c>
      <c r="C168" s="10" t="s">
        <v>15</v>
      </c>
      <c r="D168" s="19">
        <v>741.88</v>
      </c>
      <c r="E168" s="11">
        <v>16</v>
      </c>
      <c r="F168" s="12">
        <v>0.1</v>
      </c>
      <c r="G168" s="13">
        <v>45695</v>
      </c>
      <c r="H168" s="22">
        <v>333.85</v>
      </c>
    </row>
    <row r="169" spans="1:8" x14ac:dyDescent="0.3">
      <c r="A169" s="2" t="s">
        <v>10</v>
      </c>
      <c r="B169" s="2" t="s">
        <v>18</v>
      </c>
      <c r="C169" s="2" t="s">
        <v>39</v>
      </c>
      <c r="D169" s="20">
        <v>1311.26</v>
      </c>
      <c r="E169" s="6">
        <v>6</v>
      </c>
      <c r="F169" s="8">
        <v>0.1</v>
      </c>
      <c r="G169" s="7">
        <v>45698</v>
      </c>
      <c r="H169" s="23">
        <v>531.05999999999995</v>
      </c>
    </row>
    <row r="170" spans="1:8" x14ac:dyDescent="0.3">
      <c r="A170" s="10" t="s">
        <v>31</v>
      </c>
      <c r="B170" s="10" t="s">
        <v>20</v>
      </c>
      <c r="C170" s="10" t="s">
        <v>39</v>
      </c>
      <c r="D170" s="19">
        <v>573.32000000000005</v>
      </c>
      <c r="E170" s="11">
        <v>19</v>
      </c>
      <c r="F170" s="12">
        <v>0.1</v>
      </c>
      <c r="G170" s="13">
        <v>45703</v>
      </c>
      <c r="H170" s="22">
        <v>232.19</v>
      </c>
    </row>
    <row r="171" spans="1:8" x14ac:dyDescent="0.3">
      <c r="A171" s="2" t="s">
        <v>23</v>
      </c>
      <c r="B171" s="2" t="s">
        <v>11</v>
      </c>
      <c r="C171" s="2" t="s">
        <v>21</v>
      </c>
      <c r="D171" s="20">
        <v>1115.22</v>
      </c>
      <c r="E171" s="6">
        <v>14</v>
      </c>
      <c r="F171" s="8">
        <v>0.2</v>
      </c>
      <c r="G171" s="7">
        <v>45705</v>
      </c>
      <c r="H171" s="23">
        <v>223.04</v>
      </c>
    </row>
    <row r="172" spans="1:8" x14ac:dyDescent="0.3">
      <c r="A172" s="10" t="s">
        <v>45</v>
      </c>
      <c r="B172" s="10" t="s">
        <v>24</v>
      </c>
      <c r="C172" s="10" t="s">
        <v>15</v>
      </c>
      <c r="D172" s="19">
        <v>845.84</v>
      </c>
      <c r="E172" s="11">
        <v>4</v>
      </c>
      <c r="F172" s="12">
        <v>0</v>
      </c>
      <c r="G172" s="13">
        <v>45707</v>
      </c>
      <c r="H172" s="22">
        <v>422.92</v>
      </c>
    </row>
    <row r="173" spans="1:8" x14ac:dyDescent="0.3">
      <c r="A173" s="2" t="s">
        <v>55</v>
      </c>
      <c r="B173" s="2" t="s">
        <v>11</v>
      </c>
      <c r="C173" s="2" t="s">
        <v>21</v>
      </c>
      <c r="D173" s="20">
        <v>1029.8</v>
      </c>
      <c r="E173" s="6">
        <v>3</v>
      </c>
      <c r="F173" s="8">
        <v>0</v>
      </c>
      <c r="G173" s="7">
        <v>45708</v>
      </c>
      <c r="H173" s="23">
        <v>257.45</v>
      </c>
    </row>
    <row r="174" spans="1:8" x14ac:dyDescent="0.3">
      <c r="A174" s="10" t="s">
        <v>31</v>
      </c>
      <c r="B174" s="10" t="s">
        <v>24</v>
      </c>
      <c r="C174" s="10" t="s">
        <v>12</v>
      </c>
      <c r="D174" s="19">
        <v>1189.83</v>
      </c>
      <c r="E174" s="11">
        <v>2</v>
      </c>
      <c r="F174" s="12">
        <v>0.2</v>
      </c>
      <c r="G174" s="13">
        <v>45709</v>
      </c>
      <c r="H174" s="22">
        <v>380.75</v>
      </c>
    </row>
    <row r="175" spans="1:8" x14ac:dyDescent="0.3">
      <c r="A175" s="2" t="s">
        <v>43</v>
      </c>
      <c r="B175" s="2" t="s">
        <v>20</v>
      </c>
      <c r="C175" s="2" t="s">
        <v>12</v>
      </c>
      <c r="D175" s="20">
        <v>704.28</v>
      </c>
      <c r="E175" s="6">
        <v>15</v>
      </c>
      <c r="F175" s="8">
        <v>0.2</v>
      </c>
      <c r="G175" s="7">
        <v>45712</v>
      </c>
      <c r="H175" s="23">
        <v>225.37</v>
      </c>
    </row>
    <row r="176" spans="1:8" x14ac:dyDescent="0.3">
      <c r="A176" s="10" t="s">
        <v>47</v>
      </c>
      <c r="B176" s="10" t="s">
        <v>34</v>
      </c>
      <c r="C176" s="10" t="s">
        <v>39</v>
      </c>
      <c r="D176" s="19">
        <v>1618.22</v>
      </c>
      <c r="E176" s="11">
        <v>12</v>
      </c>
      <c r="F176" s="12">
        <v>0.2</v>
      </c>
      <c r="G176" s="13">
        <v>45712</v>
      </c>
      <c r="H176" s="22">
        <v>582.55999999999995</v>
      </c>
    </row>
    <row r="177" spans="1:8" x14ac:dyDescent="0.3">
      <c r="A177" s="2" t="s">
        <v>53</v>
      </c>
      <c r="B177" s="2" t="s">
        <v>34</v>
      </c>
      <c r="C177" s="2" t="s">
        <v>12</v>
      </c>
      <c r="D177" s="20">
        <v>1014.43</v>
      </c>
      <c r="E177" s="6">
        <v>2</v>
      </c>
      <c r="F177" s="8">
        <v>0.15</v>
      </c>
      <c r="G177" s="7">
        <v>45713</v>
      </c>
      <c r="H177" s="23">
        <v>344.91</v>
      </c>
    </row>
    <row r="178" spans="1:8" x14ac:dyDescent="0.3">
      <c r="A178" s="10" t="s">
        <v>31</v>
      </c>
      <c r="B178" s="10" t="s">
        <v>34</v>
      </c>
      <c r="C178" s="10" t="s">
        <v>15</v>
      </c>
      <c r="D178" s="19">
        <v>826.97</v>
      </c>
      <c r="E178" s="11">
        <v>18</v>
      </c>
      <c r="F178" s="12">
        <v>0.2</v>
      </c>
      <c r="G178" s="13">
        <v>45715</v>
      </c>
      <c r="H178" s="22">
        <v>330.79</v>
      </c>
    </row>
    <row r="179" spans="1:8" x14ac:dyDescent="0.3">
      <c r="A179" s="2" t="s">
        <v>31</v>
      </c>
      <c r="B179" s="2" t="s">
        <v>34</v>
      </c>
      <c r="C179" s="2" t="s">
        <v>15</v>
      </c>
      <c r="D179" s="20">
        <v>1022.23</v>
      </c>
      <c r="E179" s="6">
        <v>8</v>
      </c>
      <c r="F179" s="8">
        <v>0.1</v>
      </c>
      <c r="G179" s="7">
        <v>45717</v>
      </c>
      <c r="H179" s="23">
        <v>460</v>
      </c>
    </row>
    <row r="180" spans="1:8" x14ac:dyDescent="0.3">
      <c r="A180" s="10" t="s">
        <v>29</v>
      </c>
      <c r="B180" s="10" t="s">
        <v>18</v>
      </c>
      <c r="C180" s="10" t="s">
        <v>12</v>
      </c>
      <c r="D180" s="19">
        <v>1099.69</v>
      </c>
      <c r="E180" s="11">
        <v>6</v>
      </c>
      <c r="F180" s="12">
        <v>0</v>
      </c>
      <c r="G180" s="13">
        <v>45718</v>
      </c>
      <c r="H180" s="22">
        <v>439.88</v>
      </c>
    </row>
    <row r="181" spans="1:8" x14ac:dyDescent="0.3">
      <c r="A181" s="2" t="s">
        <v>64</v>
      </c>
      <c r="B181" s="2" t="s">
        <v>24</v>
      </c>
      <c r="C181" s="2" t="s">
        <v>12</v>
      </c>
      <c r="D181" s="20">
        <v>710.52</v>
      </c>
      <c r="E181" s="6">
        <v>8</v>
      </c>
      <c r="F181" s="8">
        <v>0.1</v>
      </c>
      <c r="G181" s="7">
        <v>45721</v>
      </c>
      <c r="H181" s="23">
        <v>255.79</v>
      </c>
    </row>
    <row r="182" spans="1:8" x14ac:dyDescent="0.3">
      <c r="A182" s="10" t="s">
        <v>59</v>
      </c>
      <c r="B182" s="10" t="s">
        <v>24</v>
      </c>
      <c r="C182" s="10" t="s">
        <v>12</v>
      </c>
      <c r="D182" s="19">
        <v>499.18</v>
      </c>
      <c r="E182" s="11">
        <v>15</v>
      </c>
      <c r="F182" s="12">
        <v>0.2</v>
      </c>
      <c r="G182" s="13">
        <v>45724</v>
      </c>
      <c r="H182" s="22">
        <v>159.74</v>
      </c>
    </row>
    <row r="183" spans="1:8" x14ac:dyDescent="0.3">
      <c r="A183" s="2" t="s">
        <v>38</v>
      </c>
      <c r="B183" s="2" t="s">
        <v>20</v>
      </c>
      <c r="C183" s="2" t="s">
        <v>12</v>
      </c>
      <c r="D183" s="20">
        <v>1064.19</v>
      </c>
      <c r="E183" s="6">
        <v>18</v>
      </c>
      <c r="F183" s="8">
        <v>0.05</v>
      </c>
      <c r="G183" s="7">
        <v>45725</v>
      </c>
      <c r="H183" s="23">
        <v>404.39</v>
      </c>
    </row>
    <row r="184" spans="1:8" x14ac:dyDescent="0.3">
      <c r="A184" s="10" t="s">
        <v>38</v>
      </c>
      <c r="B184" s="10" t="s">
        <v>18</v>
      </c>
      <c r="C184" s="10" t="s">
        <v>39</v>
      </c>
      <c r="D184" s="19">
        <v>438.76</v>
      </c>
      <c r="E184" s="11">
        <v>18</v>
      </c>
      <c r="F184" s="12">
        <v>0.05</v>
      </c>
      <c r="G184" s="13">
        <v>45726</v>
      </c>
      <c r="H184" s="22">
        <v>187.57</v>
      </c>
    </row>
    <row r="185" spans="1:8" x14ac:dyDescent="0.3">
      <c r="A185" s="2" t="s">
        <v>55</v>
      </c>
      <c r="B185" s="2" t="s">
        <v>11</v>
      </c>
      <c r="C185" s="2" t="s">
        <v>15</v>
      </c>
      <c r="D185" s="20">
        <v>864.98</v>
      </c>
      <c r="E185" s="6">
        <v>2</v>
      </c>
      <c r="F185" s="8">
        <v>0.05</v>
      </c>
      <c r="G185" s="7">
        <v>45727</v>
      </c>
      <c r="H185" s="23">
        <v>410.87</v>
      </c>
    </row>
    <row r="186" spans="1:8" x14ac:dyDescent="0.3">
      <c r="A186" s="10" t="s">
        <v>55</v>
      </c>
      <c r="B186" s="10" t="s">
        <v>11</v>
      </c>
      <c r="C186" s="10" t="s">
        <v>27</v>
      </c>
      <c r="D186" s="19">
        <v>984.93</v>
      </c>
      <c r="E186" s="11">
        <v>14</v>
      </c>
      <c r="F186" s="12">
        <v>0.2</v>
      </c>
      <c r="G186" s="13">
        <v>45733</v>
      </c>
      <c r="H186" s="22">
        <v>275.77999999999997</v>
      </c>
    </row>
    <row r="187" spans="1:8" x14ac:dyDescent="0.3">
      <c r="A187" s="2" t="s">
        <v>55</v>
      </c>
      <c r="B187" s="2" t="s">
        <v>11</v>
      </c>
      <c r="C187" s="2" t="s">
        <v>15</v>
      </c>
      <c r="D187" s="20">
        <v>1493.49</v>
      </c>
      <c r="E187" s="6">
        <v>18</v>
      </c>
      <c r="F187" s="8">
        <v>0</v>
      </c>
      <c r="G187" s="7">
        <v>45734</v>
      </c>
      <c r="H187" s="23">
        <v>746.74</v>
      </c>
    </row>
    <row r="188" spans="1:8" x14ac:dyDescent="0.3">
      <c r="A188" s="10" t="s">
        <v>53</v>
      </c>
      <c r="B188" s="10" t="s">
        <v>20</v>
      </c>
      <c r="C188" s="10" t="s">
        <v>15</v>
      </c>
      <c r="D188" s="19">
        <v>689.43</v>
      </c>
      <c r="E188" s="11">
        <v>9</v>
      </c>
      <c r="F188" s="12">
        <v>0.1</v>
      </c>
      <c r="G188" s="13">
        <v>45736</v>
      </c>
      <c r="H188" s="22">
        <v>310.24</v>
      </c>
    </row>
    <row r="189" spans="1:8" x14ac:dyDescent="0.3">
      <c r="A189" s="2" t="s">
        <v>59</v>
      </c>
      <c r="B189" s="2" t="s">
        <v>20</v>
      </c>
      <c r="C189" s="2" t="s">
        <v>15</v>
      </c>
      <c r="D189" s="20">
        <v>682.24</v>
      </c>
      <c r="E189" s="6">
        <v>1</v>
      </c>
      <c r="F189" s="8">
        <v>0</v>
      </c>
      <c r="G189" s="7">
        <v>45738</v>
      </c>
      <c r="H189" s="23">
        <v>341.12</v>
      </c>
    </row>
    <row r="190" spans="1:8" x14ac:dyDescent="0.3">
      <c r="A190" s="10" t="s">
        <v>26</v>
      </c>
      <c r="B190" s="10" t="s">
        <v>24</v>
      </c>
      <c r="C190" s="10" t="s">
        <v>21</v>
      </c>
      <c r="D190" s="19">
        <v>458.54</v>
      </c>
      <c r="E190" s="11">
        <v>15</v>
      </c>
      <c r="F190" s="12">
        <v>0.2</v>
      </c>
      <c r="G190" s="13">
        <v>45741</v>
      </c>
      <c r="H190" s="22">
        <v>91.71</v>
      </c>
    </row>
    <row r="191" spans="1:8" x14ac:dyDescent="0.3">
      <c r="A191" s="2" t="s">
        <v>26</v>
      </c>
      <c r="B191" s="2" t="s">
        <v>20</v>
      </c>
      <c r="C191" s="2" t="s">
        <v>27</v>
      </c>
      <c r="D191" s="20">
        <v>1184.25</v>
      </c>
      <c r="E191" s="6">
        <v>11</v>
      </c>
      <c r="F191" s="8">
        <v>0.2</v>
      </c>
      <c r="G191" s="7">
        <v>45742</v>
      </c>
      <c r="H191" s="23">
        <v>331.59</v>
      </c>
    </row>
    <row r="192" spans="1:8" x14ac:dyDescent="0.3">
      <c r="A192" s="10" t="s">
        <v>10</v>
      </c>
      <c r="B192" s="10" t="s">
        <v>20</v>
      </c>
      <c r="C192" s="10" t="s">
        <v>15</v>
      </c>
      <c r="D192" s="19">
        <v>762.14</v>
      </c>
      <c r="E192" s="11">
        <v>9</v>
      </c>
      <c r="F192" s="12">
        <v>0</v>
      </c>
      <c r="G192" s="13">
        <v>45743</v>
      </c>
      <c r="H192" s="22">
        <v>381.07</v>
      </c>
    </row>
    <row r="193" spans="1:8" x14ac:dyDescent="0.3">
      <c r="A193" s="2" t="s">
        <v>53</v>
      </c>
      <c r="B193" s="2" t="s">
        <v>24</v>
      </c>
      <c r="C193" s="2" t="s">
        <v>12</v>
      </c>
      <c r="D193" s="20">
        <v>750.71</v>
      </c>
      <c r="E193" s="6">
        <v>10</v>
      </c>
      <c r="F193" s="8">
        <v>0.15</v>
      </c>
      <c r="G193" s="7">
        <v>45743</v>
      </c>
      <c r="H193" s="23">
        <v>255.24</v>
      </c>
    </row>
    <row r="194" spans="1:8" x14ac:dyDescent="0.3">
      <c r="A194" s="10" t="s">
        <v>71</v>
      </c>
      <c r="B194" s="10" t="s">
        <v>34</v>
      </c>
      <c r="C194" s="10" t="s">
        <v>15</v>
      </c>
      <c r="D194" s="19">
        <v>1456.94</v>
      </c>
      <c r="E194" s="11">
        <v>14</v>
      </c>
      <c r="F194" s="12">
        <v>0.05</v>
      </c>
      <c r="G194" s="13">
        <v>45745</v>
      </c>
      <c r="H194" s="22">
        <v>692.05</v>
      </c>
    </row>
    <row r="195" spans="1:8" x14ac:dyDescent="0.3">
      <c r="A195" s="2" t="s">
        <v>61</v>
      </c>
      <c r="B195" s="2" t="s">
        <v>18</v>
      </c>
      <c r="C195" s="2" t="s">
        <v>27</v>
      </c>
      <c r="D195" s="20">
        <v>1093.3800000000001</v>
      </c>
      <c r="E195" s="6">
        <v>17</v>
      </c>
      <c r="F195" s="8">
        <v>0.1</v>
      </c>
      <c r="G195" s="7">
        <v>45745</v>
      </c>
      <c r="H195" s="23">
        <v>344.41</v>
      </c>
    </row>
    <row r="196" spans="1:8" x14ac:dyDescent="0.3">
      <c r="A196" s="10" t="s">
        <v>43</v>
      </c>
      <c r="B196" s="10" t="s">
        <v>11</v>
      </c>
      <c r="C196" s="10" t="s">
        <v>15</v>
      </c>
      <c r="D196" s="19">
        <v>934.27</v>
      </c>
      <c r="E196" s="11">
        <v>8</v>
      </c>
      <c r="F196" s="12">
        <v>0.15</v>
      </c>
      <c r="G196" s="13">
        <v>45746</v>
      </c>
      <c r="H196" s="22">
        <v>397.06</v>
      </c>
    </row>
    <row r="197" spans="1:8" x14ac:dyDescent="0.3">
      <c r="A197" s="2" t="s">
        <v>36</v>
      </c>
      <c r="B197" s="2" t="s">
        <v>34</v>
      </c>
      <c r="C197" s="2" t="s">
        <v>15</v>
      </c>
      <c r="D197" s="20">
        <v>1465.35</v>
      </c>
      <c r="E197" s="6">
        <v>8</v>
      </c>
      <c r="F197" s="8">
        <v>0.2</v>
      </c>
      <c r="G197" s="7">
        <v>45746</v>
      </c>
      <c r="H197" s="23">
        <v>586.14</v>
      </c>
    </row>
    <row r="198" spans="1:8" x14ac:dyDescent="0.3">
      <c r="A198" s="10" t="s">
        <v>14</v>
      </c>
      <c r="B198" s="10" t="s">
        <v>20</v>
      </c>
      <c r="C198" s="10" t="s">
        <v>39</v>
      </c>
      <c r="D198" s="19">
        <v>740.8</v>
      </c>
      <c r="E198" s="11">
        <v>3</v>
      </c>
      <c r="F198" s="12">
        <v>0</v>
      </c>
      <c r="G198" s="13">
        <v>45749</v>
      </c>
      <c r="H198" s="22">
        <v>333.36</v>
      </c>
    </row>
    <row r="199" spans="1:8" x14ac:dyDescent="0.3">
      <c r="A199" s="2" t="s">
        <v>43</v>
      </c>
      <c r="B199" s="2" t="s">
        <v>11</v>
      </c>
      <c r="C199" s="2" t="s">
        <v>39</v>
      </c>
      <c r="D199" s="20">
        <v>545.44000000000005</v>
      </c>
      <c r="E199" s="6">
        <v>17</v>
      </c>
      <c r="F199" s="8">
        <v>0</v>
      </c>
      <c r="G199" s="7">
        <v>45752</v>
      </c>
      <c r="H199" s="23">
        <v>245.45</v>
      </c>
    </row>
    <row r="200" spans="1:8" x14ac:dyDescent="0.3">
      <c r="A200" s="10" t="s">
        <v>36</v>
      </c>
      <c r="B200" s="10" t="s">
        <v>18</v>
      </c>
      <c r="C200" s="10" t="s">
        <v>12</v>
      </c>
      <c r="D200" s="19">
        <v>997.61</v>
      </c>
      <c r="E200" s="11">
        <v>8</v>
      </c>
      <c r="F200" s="12">
        <v>0.05</v>
      </c>
      <c r="G200" s="13">
        <v>45752</v>
      </c>
      <c r="H200" s="22">
        <v>379.09</v>
      </c>
    </row>
    <row r="201" spans="1:8" ht="15" thickBot="1" x14ac:dyDescent="0.35">
      <c r="A201" s="14" t="s">
        <v>36</v>
      </c>
      <c r="B201" s="14" t="s">
        <v>20</v>
      </c>
      <c r="C201" s="14" t="s">
        <v>15</v>
      </c>
      <c r="D201" s="21">
        <v>928.32</v>
      </c>
      <c r="E201" s="15">
        <v>2</v>
      </c>
      <c r="F201" s="16">
        <v>0.05</v>
      </c>
      <c r="G201" s="17">
        <v>45754</v>
      </c>
      <c r="H201" s="24">
        <v>440.95</v>
      </c>
    </row>
  </sheetData>
  <pageMargins left="0.7" right="0.7" top="0.75" bottom="0.75" header="0.3" footer="0.3"/>
  <drawing r:id="rId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61FBD1-A823-4F1C-8986-6A396341AEE0}">
  <dimension ref="A1"/>
  <sheetViews>
    <sheetView showGridLines="0" tabSelected="1" zoomScale="112" workbookViewId="0">
      <selection activeCell="S17" sqref="S17"/>
    </sheetView>
  </sheetViews>
  <sheetFormatPr defaultRowHeight="12" x14ac:dyDescent="0.25"/>
  <cols>
    <col min="1" max="16384" width="8.88671875" style="50"/>
  </cols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Conditional_formatting</vt:lpstr>
      <vt:lpstr>Compare_Discount</vt:lpstr>
      <vt:lpstr>Linear_regression</vt:lpstr>
      <vt:lpstr>Descriptive_statistics</vt:lpstr>
      <vt:lpstr>Arrow_for_Monthly_sale</vt:lpstr>
      <vt:lpstr>TimeStamp</vt:lpstr>
      <vt:lpstr>High_vslue_Cus</vt:lpstr>
      <vt:lpstr>Pivot_table</vt:lpstr>
      <vt:lpstr>Pie_Line_Bar chart</vt:lpstr>
      <vt:lpstr>Dashbord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Dharmendra Rajput</dc:creator>
  <cp:lastModifiedBy>Dharmendra Rajput</cp:lastModifiedBy>
  <dcterms:created xsi:type="dcterms:W3CDTF">2026-10-28T08:10:36Z</dcterms:created>
  <dcterms:modified xsi:type="dcterms:W3CDTF">2026-10-29T18:21:39Z</dcterms:modified>
</cp:coreProperties>
</file>